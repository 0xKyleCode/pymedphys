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 activeTab="5"/>
  </bookViews>
  <sheets>
    <sheet name="Main" sheetId="1" r:id="rId1"/>
    <sheet name="Data" sheetId="3" r:id="rId2"/>
    <sheet name="Info" sheetId="2" r:id="rId3"/>
    <sheet name="QATrack_Main" sheetId="4" r:id="rId4"/>
    <sheet name="QATrack_Data" sheetId="6" r:id="rId5"/>
    <sheet name="QATrack_Definitions" sheetId="7" r:id="rId6"/>
  </sheets>
  <externalReferences>
    <externalReference r:id="rId7"/>
  </externalReferences>
  <definedNames>
    <definedName name="List_Electrometers" localSheetId="4">QATrack_Data!$M$31:$M$35</definedName>
    <definedName name="List_Electrometers" localSheetId="5">QATrack_Definitions!$L$31:$L$35</definedName>
    <definedName name="List_Electrometers">Data!$M$31:$M$35</definedName>
    <definedName name="List_Farmer_Probes" localSheetId="4">QATrack_Data!$A$31:$A$36</definedName>
    <definedName name="List_Farmer_Probes" localSheetId="5">QATrack_Definitions!$A$31:$A$36</definedName>
    <definedName name="List_Farmer_Probes">Data!$A$31:$A$36</definedName>
    <definedName name="List_Machine" localSheetId="4">QATrack_Data!$A$21:$A$26</definedName>
    <definedName name="List_Machine" localSheetId="5">QATrack_Definitions!$A$21:$A$26</definedName>
    <definedName name="List_Machine">Data!$A$21:$A$26</definedName>
    <definedName name="List_Markus_Probes" localSheetId="4">QATrack_Data!$G$31:$G$34</definedName>
    <definedName name="List_Markus_Probes" localSheetId="5">QATrack_Definitions!$G$31:$G$34</definedName>
    <definedName name="List_Markus_Probes">Data!$G$31:$G$34</definedName>
    <definedName name="List_Month" localSheetId="4">QATrack_Data!$C$2:$C$13</definedName>
    <definedName name="List_Month" localSheetId="5">QATrack_Definitions!$C$2:$C$13</definedName>
    <definedName name="List_Month">Data!$C$2:$C$13</definedName>
    <definedName name="List_Personnel" localSheetId="4">QATrack_Data!$A$2:$A$14</definedName>
    <definedName name="List_Personnel" localSheetId="5">QATrack_Definitions!$A$2:$A$14</definedName>
    <definedName name="List_Personnel">Data!$A$2:$A$14</definedName>
    <definedName name="List_Status1" localSheetId="4">QATrack_Data!$M$2:$M$4</definedName>
    <definedName name="List_Status1" localSheetId="5">QATrack_Definitions!$L$2:$L$4</definedName>
    <definedName name="List_Status1">Data!$M$2:$M$4</definedName>
    <definedName name="List_Status2" localSheetId="4">QATrack_Data!$O$2:$O$3</definedName>
    <definedName name="List_Status2" localSheetId="5">QATrack_Definitions!$N$2:$N$3</definedName>
    <definedName name="List_Status2">Data!$O$2:$O$3</definedName>
    <definedName name="List_Status3" localSheetId="4">QATrack_Data!$Q$2:$Q$3</definedName>
    <definedName name="List_Status3" localSheetId="5">QATrack_Definitions!$P$2:$P$3</definedName>
    <definedName name="List_Status3">Data!$Q$2:$Q$3</definedName>
    <definedName name="List_Status4" localSheetId="4">QATrack_Data!$S$2:$S$3</definedName>
    <definedName name="List_Status4" localSheetId="5">QATrack_Definitions!$R$2:$R$3</definedName>
    <definedName name="List_Status4">Data!$S$2:$S$3</definedName>
    <definedName name="List_Student" localSheetId="4">QATrack_Data!$U$2:$U$7</definedName>
    <definedName name="List_Student" localSheetId="5">QATrack_Definitions!$T$2:$T$7</definedName>
    <definedName name="List_Student">Data!$U$2:$U$7</definedName>
    <definedName name="List_Year" localSheetId="4">QATrack_Data!$D$2:$D$13</definedName>
    <definedName name="List_Year" localSheetId="5">QATrack_Definitions!$D$2:$D$13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M63" i="4" l="1"/>
  <c r="D55" i="4"/>
  <c r="H50" i="4" l="1"/>
  <c r="H49" i="4"/>
  <c r="H48" i="4"/>
  <c r="H47" i="4"/>
  <c r="D47" i="1" l="1"/>
  <c r="H65" i="6" l="1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F74" i="4"/>
  <c r="F69" i="4"/>
  <c r="F59" i="4"/>
  <c r="G57" i="4"/>
  <c r="G56" i="4"/>
  <c r="G55" i="4"/>
  <c r="E147" i="4"/>
  <c r="F147" i="4"/>
  <c r="G147" i="4"/>
  <c r="H147" i="4"/>
  <c r="E135" i="4"/>
  <c r="F135" i="4"/>
  <c r="G135" i="4"/>
  <c r="H135" i="4"/>
  <c r="E136" i="4"/>
  <c r="F136" i="4"/>
  <c r="G136" i="4"/>
  <c r="H136" i="4"/>
  <c r="E137" i="4"/>
  <c r="F137" i="4"/>
  <c r="G137" i="4"/>
  <c r="H137" i="4"/>
  <c r="E378" i="4"/>
  <c r="L378" i="4" s="1"/>
  <c r="E377" i="4"/>
  <c r="G373" i="4"/>
  <c r="L373" i="4" s="1"/>
  <c r="G372" i="4"/>
  <c r="L372" i="4" s="1"/>
  <c r="L368" i="4"/>
  <c r="F368" i="4"/>
  <c r="L364" i="4"/>
  <c r="L363" i="4"/>
  <c r="L362" i="4"/>
  <c r="L361" i="4"/>
  <c r="L357" i="4"/>
  <c r="L356" i="4"/>
  <c r="L355" i="4"/>
  <c r="H338" i="4"/>
  <c r="J338" i="4" s="1"/>
  <c r="J337" i="4"/>
  <c r="H337" i="4"/>
  <c r="L329" i="4"/>
  <c r="K328" i="4"/>
  <c r="I328" i="4"/>
  <c r="L328" i="4" s="1"/>
  <c r="G328" i="4"/>
  <c r="J319" i="4"/>
  <c r="J305" i="4" a="1"/>
  <c r="J305" i="4" s="1"/>
  <c r="H285" i="4"/>
  <c r="H284" i="4"/>
  <c r="H283" i="4"/>
  <c r="H282" i="4"/>
  <c r="J271" i="4"/>
  <c r="J267" i="4"/>
  <c r="J263" i="4"/>
  <c r="J259" i="4"/>
  <c r="J255" i="4"/>
  <c r="J252" i="4"/>
  <c r="H252" i="4"/>
  <c r="F252" i="4"/>
  <c r="K251" i="4"/>
  <c r="I251" i="4"/>
  <c r="G251" i="4"/>
  <c r="I235" i="4"/>
  <c r="G232" i="4"/>
  <c r="G231" i="4"/>
  <c r="G230" i="4"/>
  <c r="I227" i="4" a="1"/>
  <c r="I227" i="4" s="1"/>
  <c r="H227" i="4" a="1"/>
  <c r="H227" i="4" s="1"/>
  <c r="G227" i="4" a="1"/>
  <c r="G227" i="4" s="1"/>
  <c r="F227" i="4" a="1"/>
  <c r="F227" i="4" s="1"/>
  <c r="E227" i="4" a="1"/>
  <c r="E227" i="4" s="1"/>
  <c r="G216" i="4"/>
  <c r="I214" i="4"/>
  <c r="G214" i="4"/>
  <c r="E214" i="4"/>
  <c r="J214" i="4" s="1"/>
  <c r="G208" i="4"/>
  <c r="G200" i="4"/>
  <c r="G192" i="4"/>
  <c r="I186" i="4"/>
  <c r="F186" i="4"/>
  <c r="G176" i="4"/>
  <c r="K170" i="4" a="1"/>
  <c r="K170" i="4" s="1"/>
  <c r="G164" i="4"/>
  <c r="L161" i="4"/>
  <c r="G149" i="4"/>
  <c r="I147" i="4"/>
  <c r="I146" i="4"/>
  <c r="J146" i="4" s="1"/>
  <c r="J145" i="4"/>
  <c r="G139" i="4"/>
  <c r="I137" i="4"/>
  <c r="I136" i="4"/>
  <c r="I135" i="4"/>
  <c r="I134" i="4"/>
  <c r="J134" i="4" s="1"/>
  <c r="J133" i="4"/>
  <c r="I133" i="4"/>
  <c r="I132" i="4"/>
  <c r="J132" i="4" s="1"/>
  <c r="I131" i="4"/>
  <c r="J131" i="4" s="1"/>
  <c r="G124" i="4"/>
  <c r="L120" i="4"/>
  <c r="J120" i="4"/>
  <c r="H120" i="4"/>
  <c r="D120" i="4"/>
  <c r="L119" i="4"/>
  <c r="J119" i="4"/>
  <c r="H119" i="4"/>
  <c r="D119" i="4"/>
  <c r="L118" i="4"/>
  <c r="J118" i="4"/>
  <c r="H118" i="4"/>
  <c r="D118" i="4"/>
  <c r="L117" i="4"/>
  <c r="J117" i="4"/>
  <c r="H117" i="4"/>
  <c r="D117" i="4"/>
  <c r="L116" i="4"/>
  <c r="J116" i="4"/>
  <c r="H116" i="4"/>
  <c r="D116" i="4"/>
  <c r="F103" i="4"/>
  <c r="I101" i="4"/>
  <c r="I100" i="4"/>
  <c r="I99" i="4"/>
  <c r="I98" i="4"/>
  <c r="J88" i="4"/>
  <c r="H88" i="4"/>
  <c r="J87" i="4"/>
  <c r="H87" i="4"/>
  <c r="J86" i="4"/>
  <c r="H86" i="4"/>
  <c r="J85" i="4"/>
  <c r="H85" i="4"/>
  <c r="J72" i="4"/>
  <c r="H72" i="4"/>
  <c r="J66" i="4"/>
  <c r="H66" i="4"/>
  <c r="J65" i="4"/>
  <c r="H65" i="4"/>
  <c r="J64" i="4"/>
  <c r="H64" i="4"/>
  <c r="J63" i="4"/>
  <c r="H63" i="4"/>
  <c r="J62" i="4"/>
  <c r="H62" i="4"/>
  <c r="I57" i="4"/>
  <c r="I56" i="4"/>
  <c r="I55" i="4"/>
  <c r="L50" i="4"/>
  <c r="J50" i="4"/>
  <c r="D57" i="4"/>
  <c r="D50" i="4"/>
  <c r="L49" i="4"/>
  <c r="J49" i="4"/>
  <c r="D87" i="4"/>
  <c r="D49" i="4"/>
  <c r="L48" i="4"/>
  <c r="J48" i="4"/>
  <c r="D86" i="4"/>
  <c r="D48" i="4"/>
  <c r="L47" i="4"/>
  <c r="J47" i="4"/>
  <c r="E72" i="4"/>
  <c r="D47" i="4"/>
  <c r="H13" i="4"/>
  <c r="L11" i="4"/>
  <c r="E64" i="4" l="1"/>
  <c r="K64" i="4" s="1"/>
  <c r="M64" i="4" s="1"/>
  <c r="E62" i="4"/>
  <c r="K62" i="4" s="1"/>
  <c r="M62" i="4" s="1"/>
  <c r="E63" i="4"/>
  <c r="K63" i="4" s="1"/>
  <c r="E65" i="4"/>
  <c r="K65" i="4" s="1"/>
  <c r="M65" i="4" s="1"/>
  <c r="E66" i="4"/>
  <c r="K66" i="4" s="1"/>
  <c r="M66" i="4" s="1"/>
  <c r="K86" i="4"/>
  <c r="M86" i="4" s="1"/>
  <c r="J57" i="4"/>
  <c r="L57" i="4" s="1"/>
  <c r="J147" i="4"/>
  <c r="J135" i="4"/>
  <c r="E379" i="4"/>
  <c r="L379" i="4" s="1"/>
  <c r="M251" i="4"/>
  <c r="L186" i="4"/>
  <c r="J136" i="4"/>
  <c r="J137" i="4"/>
  <c r="K117" i="4"/>
  <c r="M117" i="4" s="1"/>
  <c r="K118" i="4"/>
  <c r="M118" i="4" s="1"/>
  <c r="K119" i="4"/>
  <c r="M119" i="4" s="1"/>
  <c r="K120" i="4"/>
  <c r="M120" i="4" s="1"/>
  <c r="K116" i="4"/>
  <c r="M116" i="4" s="1"/>
  <c r="D56" i="4"/>
  <c r="J56" i="4" s="1"/>
  <c r="L56" i="4" s="1"/>
  <c r="K87" i="4"/>
  <c r="M87" i="4" s="1"/>
  <c r="J100" i="4"/>
  <c r="L100" i="4" s="1"/>
  <c r="K48" i="4"/>
  <c r="M48" i="4" s="1"/>
  <c r="K49" i="4"/>
  <c r="M49" i="4" s="1"/>
  <c r="J99" i="4"/>
  <c r="L99" i="4" s="1"/>
  <c r="J101" i="4"/>
  <c r="L101" i="4" s="1"/>
  <c r="J55" i="4"/>
  <c r="L55" i="4" s="1"/>
  <c r="J98" i="4"/>
  <c r="L98" i="4" s="1"/>
  <c r="K72" i="4"/>
  <c r="M72" i="4" s="1"/>
  <c r="K47" i="4"/>
  <c r="M47" i="4" s="1"/>
  <c r="L377" i="4"/>
  <c r="D85" i="4"/>
  <c r="K85" i="4" s="1"/>
  <c r="M85" i="4" s="1"/>
  <c r="K50" i="4"/>
  <c r="M50" i="4" s="1"/>
  <c r="D88" i="4"/>
  <c r="K88" i="4" s="1"/>
  <c r="M88" i="4" s="1"/>
  <c r="J251" i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H98" i="1" l="1"/>
  <c r="I47" i="1"/>
  <c r="K47" i="1" s="1"/>
  <c r="M47" i="1" s="1"/>
  <c r="E62" i="1"/>
  <c r="E72" i="1"/>
  <c r="I72" i="1" s="1"/>
  <c r="K72" i="1" s="1"/>
  <c r="M72" i="1" s="1"/>
  <c r="D55" i="1"/>
  <c r="D85" i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J98" i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  <c r="I85" i="1" l="1"/>
  <c r="K85" i="1" s="1"/>
  <c r="M85" i="1" s="1"/>
  <c r="H55" i="1"/>
  <c r="J55" i="1" s="1"/>
  <c r="L55" i="1" s="1"/>
  <c r="I62" i="1"/>
  <c r="K62" i="1" s="1"/>
  <c r="M62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<sst xmlns="http://schemas.openxmlformats.org/spreadsheetml/2006/main" count="3021" uniqueCount="997">
  <si>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</si>
  <si>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</si>
  <si>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</si>
  <si>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</si>
  <si>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</si>
  <si>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</si>
  <si>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</si>
  <si>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</si>
  <si>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</si>
  <si>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</si>
  <si>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</si>
  <si>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</si>
  <si>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</si>
  <si>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</si>
  <si>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</si>
  <si>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</si>
  <si>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</si>
  <si>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</si>
  <si>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</si>
  <si>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</si>
  <si>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</si>
  <si>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</si>
  <si>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</si>
  <si>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</si>
  <si>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</si>
  <si>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</si>
  <si>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</si>
  <si>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</si>
  <si>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</si>
  <si>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</si>
  <si>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</si>
  <si>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</si>
  <si>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</si>
  <si>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</si>
  <si>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</si>
  <si>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</si>
  <si>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</si>
  <si>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</si>
  <si>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</si>
  <si>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</si>
  <si>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</si>
  <si>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</si>
  <si>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</si>
  <si>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</si>
  <si>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</si>
  <si>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</si>
  <si>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</si>
  <si>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</si>
  <si>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</si>
  <si>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</si>
  <si>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</si>
  <si>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</si>
  <si>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</si>
  <si>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</si>
  <si>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</si>
  <si>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</si>
  <si>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</si>
  <si>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</si>
  <si>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</si>
  <si>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</si>
  <si>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</si>
  <si>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</si>
  <si>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</si>
  <si>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</si>
  <si>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</si>
  <si>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</si>
  <si>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</si>
  <si>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</si>
  <si>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</si>
  <si>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</si>
  <si>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</si>
  <si>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</si>
  <si>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</si>
  <si>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</si>
  <si>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</si>
  <si>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</si>
  <si>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</si>
  <si>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</si>
  <si>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</si>
  <si>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</si>
  <si>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</si>
  <si>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</si>
  <si>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</si>
  <si>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</si>
  <si>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</si>
  <si>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</si>
  <si>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</si>
  <si>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</si>
  <si>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</si>
  <si>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</si>
  <si>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</si>
  <si>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</si>
  <si>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</si>
  <si>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</si>
  <si>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</si>
  <si>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</si>
  <si>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</si>
  <si>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</si>
  <si>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</si>
  <si>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</si>
  <si>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</si>
  <si>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</si>
  <si>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</si>
  <si>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</si>
  <si>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</si>
  <si>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</si>
  <si>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</si>
  <si>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</si>
  <si>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</si>
  <si>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</si>
  <si>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</si>
  <si>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</si>
  <si>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</si>
  <si>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</si>
  <si>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</si>
  <si>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</si>
  <si>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</si>
  <si>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</si>
  <si>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</si>
  <si>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</si>
  <si>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</si>
  <si>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</si>
  <si>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</si>
  <si>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</si>
  <si>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</si>
  <si>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</si>
  <si>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</si>
  <si>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</si>
  <si>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</si>
  <si>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</si>
  <si>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</si>
  <si>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</si>
  <si>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</si>
  <si>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</si>
  <si>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</si>
  <si>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</si>
  <si>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</si>
  <si>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</si>
  <si>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</si>
  <si>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</si>
  <si>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</si>
  <si>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</si>
  <si>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</si>
  <si>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</si>
  <si>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</si>
  <si>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</si>
  <si>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</si>
  <si>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</si>
  <si>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</si>
  <si>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</si>
  <si>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</si>
  <si>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</si>
  <si>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</si>
  <si>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</si>
  <si>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</si>
  <si>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</si>
  <si>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</si>
  <si>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</si>
  <si>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</si>
  <si>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</si>
  <si>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</si>
  <si>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</si>
  <si>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</si>
  <si>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</si>
  <si>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</si>
  <si>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</si>
  <si>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</si>
  <si>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</si>
  <si>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</si>
  <si>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</si>
  <si>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</si>
  <si>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</si>
  <si>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</si>
  <si>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</si>
  <si>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</si>
  <si>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</si>
  <si>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</si>
  <si>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</si>
  <si>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</si>
  <si>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</si>
  <si>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</si>
  <si>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</si>
  <si>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</si>
  <si>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</si>
  <si>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</si>
  <si>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</si>
  <si>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</si>
  <si>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</si>
  <si>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</si>
  <si>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</si>
  <si>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</si>
  <si>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</si>
  <si>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</si>
  <si>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</si>
  <si>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</si>
  <si>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</si>
  <si>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</si>
  <si>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</si>
  <si>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</si>
  <si>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</si>
  <si>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</si>
  <si>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</si>
  <si>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</si>
  <si>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</si>
  <si>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</si>
  <si>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</si>
  <si>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</si>
  <si>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</si>
  <si>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</si>
  <si>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</si>
  <si>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</si>
  <si>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</si>
  <si>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</si>
  <si>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</si>
  <si>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</si>
  <si>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</si>
  <si>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</si>
  <si>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</si>
  <si>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</si>
  <si>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</si>
  <si>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</si>
  <si>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</si>
  <si>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</si>
  <si>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</si>
  <si>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</si>
  <si>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</si>
  <si>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</si>
  <si>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</si>
  <si>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</si>
  <si>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</si>
  <si>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</si>
  <si>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</si>
  <si>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</si>
  <si>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</si>
  <si>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</si>
  <si>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</si>
  <si>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</si>
  <si>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</si>
  <si>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</si>
  <si>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</si>
  <si>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</si>
  <si>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</si>
  <si>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</si>
  <si>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</si>
  <si>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</si>
  <si>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</si>
  <si>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</si>
  <si>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</si>
  <si>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</si>
  <si>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</si>
  <si>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</si>
  <si>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</si>
  <si>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</si>
  <si>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</si>
  <si>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</si>
  <si>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</si>
  <si>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</si>
  <si>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</si>
  <si>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</si>
  <si>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</si>
  <si>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</si>
  <si>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</si>
  <si>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</si>
  <si>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</si>
  <si>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</si>
  <si>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</si>
  <si>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</si>
  <si>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</si>
  <si>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</si>
  <si>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</si>
  <si>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</si>
  <si>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</si>
  <si>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</si>
  <si>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</si>
  <si>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</si>
  <si>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</si>
  <si>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</si>
  <si>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</si>
  <si>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</si>
  <si>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</si>
  <si>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</si>
  <si>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</si>
  <si>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</si>
  <si>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</si>
  <si>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</si>
  <si>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</si>
  <si>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</si>
  <si>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</si>
  <si>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</si>
  <si>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</si>
  <si>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</si>
  <si>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</si>
  <si>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</si>
  <si>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</si>
  <si>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</si>
  <si>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</si>
  <si>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</si>
  <si>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</si>
  <si>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</si>
  <si>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</si>
  <si>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</si>
  <si>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</si>
  <si>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</si>
  <si>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</si>
  <si>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</si>
  <si>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</si>
  <si>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</si>
  <si>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</si>
  <si>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</si>
  <si>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</si>
  <si>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</si>
  <si>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</si>
  <si>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</si>
  <si>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</si>
  <si>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</si>
  <si>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</si>
  <si>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</si>
  <si>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</si>
  <si>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</si>
  <si>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</si>
  <si>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</si>
  <si>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</si>
  <si>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</si>
  <si>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</si>
  <si>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</si>
  <si>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</si>
  <si>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</si>
  <si>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</si>
  <si>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</si>
  <si>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</si>
  <si>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</si>
  <si>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</si>
  <si>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</si>
  <si>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</si>
  <si>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</si>
  <si>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</si>
  <si>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</si>
  <si>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</si>
  <si>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</si>
  <si>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</si>
  <si>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</si>
  <si>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</si>
  <si>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</si>
  <si>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</si>
  <si>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</si>
  <si>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</si>
  <si>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</si>
  <si>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</si>
  <si>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</si>
  <si>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</si>
  <si>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</si>
  <si>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</si>
  <si>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</si>
  <si>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</si>
  <si>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</si>
  <si>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</si>
  <si>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</si>
  <si>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</si>
  <si>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</si>
  <si>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</si>
  <si>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</si>
  <si>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</si>
  <si>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</si>
  <si>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</si>
  <si>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</si>
  <si>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</si>
  <si>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</si>
  <si>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</si>
  <si>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</si>
  <si>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</si>
  <si>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</si>
  <si>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</si>
  <si>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</si>
  <si>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</si>
  <si>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</si>
  <si>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</si>
  <si>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</si>
  <si>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</si>
  <si>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</si>
  <si>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</si>
  <si>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</si>
  <si>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</si>
  <si>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</si>
  <si>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</si>
  <si>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</si>
  <si>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</si>
  <si>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</si>
  <si>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</si>
  <si>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</si>
  <si>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</si>
  <si>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</si>
  <si>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</si>
  <si>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</si>
  <si>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</si>
  <si>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</si>
  <si>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</si>
  <si>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</si>
  <si>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</si>
  <si>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</si>
  <si>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</si>
  <si>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</si>
  <si>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</si>
  <si>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</si>
  <si>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</si>
  <si>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</si>
  <si>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</si>
  <si>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</si>
  <si>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</si>
  <si>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</si>
  <si>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</si>
  <si>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</si>
  <si>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</si>
  <si>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</si>
  <si>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</si>
  <si>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</si>
  <si>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</si>
  <si>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</si>
  <si>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</si>
  <si>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</si>
  <si>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</si>
  <si>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</si>
  <si>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</si>
  <si>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</si>
  <si>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</si>
  <si>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</si>
  <si>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</si>
  <si>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</si>
  <si>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</si>
  <si>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</si>
  <si>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</si>
  <si>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</si>
  <si>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</si>
  <si>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</si>
  <si>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</si>
  <si>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</si>
  <si>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</si>
  <si>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</si>
  <si>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</si>
  <si>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</si>
  <si>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</si>
  <si>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</si>
  <si>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</si>
  <si>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</si>
  <si>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</si>
  <si>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</si>
  <si>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</si>
  <si>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</si>
  <si>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</si>
  <si>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</si>
  <si>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</si>
  <si>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</si>
  <si>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</si>
  <si>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</si>
  <si>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</si>
  <si>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</si>
  <si>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</si>
  <si>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</si>
  <si>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</si>
  <si>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</si>
  <si>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</si>
  <si>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</si>
  <si>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</si>
  <si>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</si>
  <si>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</si>
  <si>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</si>
  <si>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</si>
  <si>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</si>
  <si>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</si>
  <si>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</si>
  <si>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</si>
  <si>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</si>
  <si>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</si>
  <si>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</si>
  <si>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</si>
  <si>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</si>
  <si>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</si>
  <si>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</si>
  <si>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</si>
  <si>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</si>
  <si>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</si>
  <si>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</si>
  <si>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</si>
  <si>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</si>
  <si>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</si>
  <si>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</si>
  <si>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</si>
  <si>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</si>
  <si>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</si>
  <si>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</si>
  <si>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</si>
  <si>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</si>
  <si>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</si>
  <si>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</si>
  <si>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</si>
  <si>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</si>
  <si>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</si>
  <si>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</si>
  <si>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</si>
  <si>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</si>
  <si>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</si>
  <si>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</si>
  <si>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</si>
  <si>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</si>
  <si>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</si>
  <si>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</si>
  <si>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</si>
  <si>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</si>
  <si>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</si>
  <si>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</si>
  <si>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</si>
  <si>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</si>
  <si>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</si>
  <si>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</si>
  <si>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</si>
  <si>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</si>
  <si>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</si>
  <si>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</si>
  <si>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</si>
  <si>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</si>
  <si>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</si>
  <si>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</si>
  <si>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</si>
  <si>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</si>
  <si>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</si>
  <si>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</si>
  <si>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</si>
  <si>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</si>
  <si>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</si>
  <si>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</si>
  <si>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</si>
  <si>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</si>
  <si>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</si>
  <si>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</si>
  <si>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</si>
  <si>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</si>
  <si>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</si>
  <si>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#!p_corr_photon</t>
  </si>
  <si>
    <t>Tprobe:</t>
  </si>
  <si>
    <t>#!t_probe_photon</t>
  </si>
  <si>
    <t>#!ctp_photon</t>
  </si>
  <si>
    <t>ptw_probe_id</t>
  </si>
  <si>
    <t>electrometer_id</t>
  </si>
  <si>
    <t>#!nd_photon</t>
  </si>
  <si>
    <t>#!VMAT_factor_ccw</t>
  </si>
  <si>
    <t>#!VMAT_factor_cw</t>
  </si>
  <si>
    <t>#!dmlc_error</t>
  </si>
  <si>
    <t>#!p_corr_electron</t>
  </si>
  <si>
    <t>#!t_probe_electron</t>
  </si>
  <si>
    <t>#!ctp_electron</t>
  </si>
  <si>
    <t>#!markus_probe_id</t>
  </si>
  <si>
    <t>#!electrometer_id</t>
  </si>
  <si>
    <t>#!nd_electron</t>
  </si>
  <si>
    <t>#!ptw_7_nd</t>
  </si>
  <si>
    <t>#!markus_1_nd</t>
  </si>
  <si>
    <t>#!unidose_s1_p_elec</t>
  </si>
  <si>
    <t>#!ptw_2_nd</t>
  </si>
  <si>
    <t>#!markus_2_nd</t>
  </si>
  <si>
    <t>#!unidose_e2_p_elec</t>
  </si>
  <si>
    <t>#!vifir_tb1_photon_6x_fc</t>
  </si>
  <si>
    <t>#!vifir_tb1_photon_10x_fc</t>
  </si>
  <si>
    <t>#!vifir_tb1_photon_15x_fc</t>
  </si>
  <si>
    <t>#!vifir_tb1_photon_10xfff_fc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</si>
  <si>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</si>
  <si>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</si>
  <si>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</si>
  <si>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</si>
  <si>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</si>
  <si>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#!ptw_3_nd</t>
  </si>
  <si>
    <t>#!markus_4_nd</t>
  </si>
  <si>
    <t>#!unidose_e3_p_elec</t>
  </si>
  <si>
    <t>#!viarbutus_tb2_photon_6x_fc</t>
  </si>
  <si>
    <t>#!viarbutus_tb2_photon_10x_fc</t>
  </si>
  <si>
    <t>#!viarbutus_tb2_photon_15x_fc</t>
  </si>
  <si>
    <t>#!viarbutus_tb2_photon_10xfff_fc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</si>
  <si>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</si>
  <si>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</si>
  <si>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</si>
  <si>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</si>
  <si>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</si>
  <si>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#!ptw_4_nd</t>
  </si>
  <si>
    <t>#!markus_savd_nd</t>
  </si>
  <si>
    <t>#!unidose_e4_p_elec</t>
  </si>
  <si>
    <t>#!vibirch_tb3_photon_6x_fc</t>
  </si>
  <si>
    <t>#!vibirch_tb3_photon_10x_fc</t>
  </si>
  <si>
    <t>#!vibirch_tb3_photon_15x_fc</t>
  </si>
  <si>
    <t>#!vibirch_tb3_photon_10xfff_fc</t>
  </si>
  <si>
    <t>#!ptw_5_nd</t>
  </si>
  <si>
    <t>#!unidose_e5_p_elec</t>
  </si>
  <si>
    <t>#!vicedar_tb4_photon_6x_fc</t>
  </si>
  <si>
    <t>#!vicedar_tb4_photon_10x_fc</t>
  </si>
  <si>
    <t>#!vicedar_tb4_photon_15x_fc</t>
  </si>
  <si>
    <t>#!vicedar_tb4_photon_10xfff_fc</t>
  </si>
  <si>
    <t>#!ptw_6_nd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</si>
  <si>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</si>
  <si>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</si>
  <si>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</si>
  <si>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</si>
  <si>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</si>
  <si>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</si>
  <si>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</si>
  <si>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</si>
  <si>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long</t>
  </si>
  <si>
    <t>short</t>
  </si>
  <si>
    <t>description</t>
  </si>
  <si>
    <t>track</t>
  </si>
  <si>
    <t>sheet</t>
  </si>
  <si>
    <t>type</t>
  </si>
  <si>
    <t>format</t>
  </si>
  <si>
    <t>category</t>
  </si>
  <si>
    <t>UNIDOSE S1</t>
  </si>
  <si>
    <t>unidose_s1_p_elec</t>
  </si>
  <si>
    <t>UNIDOSE S1 Electrometer s/n 50095</t>
  </si>
  <si>
    <t>Data</t>
  </si>
  <si>
    <t>constant</t>
  </si>
  <si>
    <t>%0.3f</t>
  </si>
  <si>
    <t>Dosimetry</t>
  </si>
  <si>
    <t>UNIDOSE E2</t>
  </si>
  <si>
    <t>unidose_e2_p_elec</t>
  </si>
  <si>
    <t>UNIDOSE E2 Electrometer s/n 0013</t>
  </si>
  <si>
    <t>UNIDOSE E3</t>
  </si>
  <si>
    <t>unidose_e3_p_elec</t>
  </si>
  <si>
    <t>UNIDOSE E3 Electrometer s/n 0034</t>
  </si>
  <si>
    <t>UNIDOSE E4</t>
  </si>
  <si>
    <t>unidose_e4_p_elec</t>
  </si>
  <si>
    <t>UNIDOSE E4 Electrometer s/n 0035</t>
  </si>
  <si>
    <t>UNIDOSE E5</t>
  </si>
  <si>
    <t>unidose_e5_p_elec</t>
  </si>
  <si>
    <t>UNIDOSE E5 Electrometer s/n 0980</t>
  </si>
  <si>
    <t>Markus #1</t>
  </si>
  <si>
    <t>markus_1_nd</t>
  </si>
  <si>
    <t>Markus Probe #1 s/n 1705</t>
  </si>
  <si>
    <t>Markus #2</t>
  </si>
  <si>
    <t>markus_2_nd</t>
  </si>
  <si>
    <t>Markus Probe #2 s/n 0434</t>
  </si>
  <si>
    <t>Markus #4</t>
  </si>
  <si>
    <t>markus_4_nd</t>
  </si>
  <si>
    <t>Markus Probe #4 s/n 4249</t>
  </si>
  <si>
    <t>Markus Savd</t>
  </si>
  <si>
    <t>markus_savd_nd</t>
  </si>
  <si>
    <t>Markus Savd Probe s/n 1305</t>
  </si>
  <si>
    <t>ptw_7_nd</t>
  </si>
  <si>
    <t>PTW Probe #7 s/n 2525</t>
  </si>
  <si>
    <t>ptw_2_nd</t>
  </si>
  <si>
    <t>PTW Probe #2 s/n 1905</t>
  </si>
  <si>
    <t>ptw_3_nd</t>
  </si>
  <si>
    <t>PTW Probe #3 s/n 2215</t>
  </si>
  <si>
    <t>ptw_4_nd</t>
  </si>
  <si>
    <t>PTW Probe #4 s/n 2216</t>
  </si>
  <si>
    <t>ptw_5_nd</t>
  </si>
  <si>
    <t>PTW Probe #5 s/n 2217</t>
  </si>
  <si>
    <t>ptw_6_nd</t>
  </si>
  <si>
    <t>PTW Probe #6 s/n 2359</t>
  </si>
  <si>
    <t>Fir Photon Solid Water Factor 6X</t>
  </si>
  <si>
    <t>vifir_tb1_photon_6x_fc</t>
  </si>
  <si>
    <t>%0.2f</t>
  </si>
  <si>
    <t>Fir Photon Solid Water Factor 10X</t>
  </si>
  <si>
    <t>vifir_tb1_photon_10x_fc</t>
  </si>
  <si>
    <t>Fir Photon Solid Water Factor 15X</t>
  </si>
  <si>
    <t>vifir_tb1_photon_15x_fc</t>
  </si>
  <si>
    <t>Fir Photon Solid Water Factor 10XFFF</t>
  </si>
  <si>
    <t>vifir_tb1_photon_10xfff_fc</t>
  </si>
  <si>
    <t>Arbutus Photon Solid Water Factor 6X</t>
  </si>
  <si>
    <t>viarbutus_tb2_photon_6x_fc</t>
  </si>
  <si>
    <t>Arbutus Photon Solid Water Factor 10X</t>
  </si>
  <si>
    <t>viarbutus_tb2_photon_10x_fc</t>
  </si>
  <si>
    <t>Arbutus Photon Solid Water Factor 15X</t>
  </si>
  <si>
    <t>viarbutus_tb2_photon_15x_fc</t>
  </si>
  <si>
    <t>Arbutus Photon Solid Water Factor 10XFFF</t>
  </si>
  <si>
    <t>viarbutus_tb2_photon_10xfff_fc</t>
  </si>
  <si>
    <t>Birch Photon Solid Water Factor 6X</t>
  </si>
  <si>
    <t>vibirch_tb3_photon_6x_fc</t>
  </si>
  <si>
    <t>Birch Photon Solid Water Factor 10X</t>
  </si>
  <si>
    <t>vibirch_tb3_photon_10x_fc</t>
  </si>
  <si>
    <t>Birch Photon Solid Water Factor 15X</t>
  </si>
  <si>
    <t>vibirch_tb3_photon_15x_fc</t>
  </si>
  <si>
    <t>Birch Photon Solid Water Factor 10XFFF</t>
  </si>
  <si>
    <t>vibirch_tb3_photon_10xfff_fc</t>
  </si>
  <si>
    <t>Cedar Photon Solid Water Factor 6X</t>
  </si>
  <si>
    <t>vicedar_tb4_photon_6x_fc</t>
  </si>
  <si>
    <t>Cedar Photon Solid Water Factor 10X</t>
  </si>
  <si>
    <t>vicedar_tb4_photon_10x_fc</t>
  </si>
  <si>
    <t>Cedar Photon Solid Water Factor 15X</t>
  </si>
  <si>
    <t>vicedar_tb4_photon_15x_fc</t>
  </si>
  <si>
    <t>Cedar Photon Solid Water Factor 10XFFF</t>
  </si>
  <si>
    <t>vicedar_tb4_photon_10xfff_fc</t>
  </si>
  <si>
    <t>Spruce Photon Solid Water Factor 6X</t>
  </si>
  <si>
    <t>vispruce_tb5_photon_6x_fc</t>
  </si>
  <si>
    <t>Spruce Photon Solid Water Factor 10X</t>
  </si>
  <si>
    <t>vispruce_tb5_photon_10x_fc</t>
  </si>
  <si>
    <t>Spruce Photon Solid Water Factor 15X</t>
  </si>
  <si>
    <t>vispruce_tb5_photon_15x_fc</t>
  </si>
  <si>
    <t>Spruce Photon Solid Water Factor 10XFFF</t>
  </si>
  <si>
    <t>vispruce_tb5_photon_10xfff_fc</t>
  </si>
  <si>
    <t>Oak Photon Solid Water Factor 6X</t>
  </si>
  <si>
    <t>vioak_tb6_photon_6x_fc</t>
  </si>
  <si>
    <t>Oak Photon Solid Water Factor 10X</t>
  </si>
  <si>
    <t>vioak_tb6_photon_10x_fc</t>
  </si>
  <si>
    <t>Oak Photon Solid Water Factor 15X</t>
  </si>
  <si>
    <t>vioak_tb6_photon_15x_fc</t>
  </si>
  <si>
    <t>Oak Photon Solid Water Factor 10XFFF</t>
  </si>
  <si>
    <t>vioak_tb6_photon_10xfff_fc</t>
  </si>
  <si>
    <t>Arbutus Electron Solid Water Factor 6E</t>
  </si>
  <si>
    <t>viarbutus_tb2_electron_6e_fc</t>
  </si>
  <si>
    <t>%0.1f</t>
  </si>
  <si>
    <t>Arbutus Electron Solid Water Factor 9E</t>
  </si>
  <si>
    <t>viarbutus_tb2_electron_9e_fc</t>
  </si>
  <si>
    <t>Arbutus Electron Solid Water Factor 12E</t>
  </si>
  <si>
    <t>viarbutus_tb2_electron_12e_fc</t>
  </si>
  <si>
    <t>Arbutus Electron Solid Water Factor 16E</t>
  </si>
  <si>
    <t>viarbutus_tb2_electron_16e_fc</t>
  </si>
  <si>
    <t>Arbutus Electron Solid Water Factor 20E</t>
  </si>
  <si>
    <t>viarbutus_tb2_electron_20e_fc</t>
  </si>
  <si>
    <t>Fir Electron Solid Water Factor 6E</t>
  </si>
  <si>
    <t>vifir_tb1_electron_6e_fc</t>
  </si>
  <si>
    <t>Fir Electron Solid Water Factor 9E</t>
  </si>
  <si>
    <t>vifir_tb1_electron_9e_fc</t>
  </si>
  <si>
    <t>Fir Electron Solid Water Factor 12E</t>
  </si>
  <si>
    <t>vifir_tb1_electron_12e_fc</t>
  </si>
  <si>
    <t>Fir Electron Solid Water Factor 16E</t>
  </si>
  <si>
    <t>vifir_tb1_electron_16e_fc</t>
  </si>
  <si>
    <t>Fir Electron Solid Water Factor 20E</t>
  </si>
  <si>
    <t>vifir_tb1_electron_20e_fc</t>
  </si>
  <si>
    <t>Birch Electron Solid Water Factor 6E</t>
  </si>
  <si>
    <t>Birch Electron Solid Water Factor 9E</t>
  </si>
  <si>
    <t>Birch Electron Solid Water Factor 12E</t>
  </si>
  <si>
    <t>Birch Electron Solid Water Factor 16E</t>
  </si>
  <si>
    <t>Birch Electron Solid Water Factor 20E</t>
  </si>
  <si>
    <t>Electrometer ID</t>
  </si>
  <si>
    <t>Main</t>
  </si>
  <si>
    <t>pulldown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</si>
  <si>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</si>
  <si>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</si>
  <si>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</si>
  <si>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</si>
  <si>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</si>
  <si>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</si>
  <si>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</si>
  <si>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</si>
  <si>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 (Electron)</t>
  </si>
  <si>
    <t>ctp_electron</t>
  </si>
  <si>
    <t>Corrected Temperature Pressure (electron)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</si>
  <si>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</si>
  <si>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</si>
  <si>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</si>
  <si>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</si>
  <si>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</si>
  <si>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</si>
  <si>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</si>
  <si>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</si>
  <si>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</si>
  <si>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numeric</t>
  </si>
  <si>
    <t>Pressure (Electron)</t>
  </si>
  <si>
    <t>p_corr_electron</t>
  </si>
  <si>
    <t>Corrected Pressure (electron)</t>
  </si>
  <si>
    <t>PTW Probe 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</si>
  <si>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</si>
  <si>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</si>
  <si>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</si>
  <si>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</si>
  <si>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</si>
  <si>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</si>
  <si>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</si>
  <si>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#!ptw_probe_id</t>
  </si>
  <si>
    <t>#!OC_6X_10x10_1</t>
  </si>
  <si>
    <t>#!OC_6X_10x10_2</t>
  </si>
  <si>
    <t>#!OC_6X_10x10_3</t>
  </si>
  <si>
    <t>#!OC_10X_10x10_1</t>
  </si>
  <si>
    <t>#!OC_10X_10x10_2</t>
  </si>
  <si>
    <t>#!OC_10X_10x10_3</t>
  </si>
  <si>
    <t>#!OC_10Xfff_10x10_1</t>
  </si>
  <si>
    <t>#!OC_10Xfff_10x10_2</t>
  </si>
  <si>
    <t>#!OC_10Xfff_10x10_3</t>
  </si>
  <si>
    <t>#!OC_15X_10x10_1</t>
  </si>
  <si>
    <t>#!OC_15X_10x10_2</t>
  </si>
  <si>
    <t>#!OC_15X_10x10_3</t>
  </si>
  <si>
    <t>#!EDW60IN_6X</t>
  </si>
  <si>
    <t>#!EDW60OUT_6X</t>
  </si>
  <si>
    <t>#!EDW60IN_10X</t>
  </si>
  <si>
    <t>#!EDW60OUT_10X</t>
  </si>
  <si>
    <t>#!EDW60IN_15X</t>
  </si>
  <si>
    <t>#!EDW60OUT_15X</t>
  </si>
  <si>
    <t>#!dmlc_5mm_1</t>
  </si>
  <si>
    <t>#!dmlc_5mm_2</t>
  </si>
  <si>
    <t>#!dmlc_5mm_Int_1</t>
  </si>
  <si>
    <t>#!dmlc_5mm_Int_2</t>
  </si>
  <si>
    <t>#!dmlc_Hold_1</t>
  </si>
  <si>
    <t>#!dmlc_Hold_2</t>
  </si>
  <si>
    <t>#!dmlc_Prostate_6X_1</t>
  </si>
  <si>
    <t>#!dmlc_Prostate_6X_2</t>
  </si>
  <si>
    <t>#!TMR_6X_1</t>
  </si>
  <si>
    <t>#!TMR_6X_2</t>
  </si>
  <si>
    <t>#!TMR_10X_1</t>
  </si>
  <si>
    <t>#!TMR_10X_2</t>
  </si>
  <si>
    <t>#!TMR_10fff_1</t>
  </si>
  <si>
    <t>#!TMR_10fff_2</t>
  </si>
  <si>
    <t>#!dose_index_THORAX</t>
  </si>
  <si>
    <t>#!dose_index_PELVIS</t>
  </si>
  <si>
    <t>#!OC_6E_1</t>
  </si>
  <si>
    <t>#!OC_6E_2</t>
  </si>
  <si>
    <t>#!OC_6E_3</t>
  </si>
  <si>
    <t>#!OC_9E_1</t>
  </si>
  <si>
    <t>#!OC_9E_2</t>
  </si>
  <si>
    <t>#!OC_9E_3</t>
  </si>
  <si>
    <t>#!OC_12E_1</t>
  </si>
  <si>
    <t>#!OC_12E_2</t>
  </si>
  <si>
    <t>#!OC_12E_3</t>
  </si>
  <si>
    <t>#!OC_16E_1</t>
  </si>
  <si>
    <t>#!OC_16E_2</t>
  </si>
  <si>
    <t>#!OC_16E_3</t>
  </si>
  <si>
    <t>#!OC_20E_1</t>
  </si>
  <si>
    <t>#!OC_20E_2</t>
  </si>
  <si>
    <t>#!OC_20E_3</t>
  </si>
  <si>
    <t>6X Output Constancy Dose (100 MU)</t>
  </si>
  <si>
    <t>OC_6X_10x10_1</t>
  </si>
  <si>
    <t>OC_6X_10x10_2</t>
  </si>
  <si>
    <t>OC_6X_10x10_3</t>
  </si>
  <si>
    <t>10X Output Constancy Dose (100 MU)</t>
  </si>
  <si>
    <t>OC_10X_10x10_1</t>
  </si>
  <si>
    <t>OC_10X_10x10_2</t>
  </si>
  <si>
    <t>OC_10X_10x10_3</t>
  </si>
  <si>
    <t>10Xfff Output Constancy Dose (100 MU)</t>
  </si>
  <si>
    <t>OC_10Xfff_10x10_1</t>
  </si>
  <si>
    <t>OC_10Xfff_10x10_2</t>
  </si>
  <si>
    <t>OC_10Xfff_10x10_3</t>
  </si>
  <si>
    <t>15X Output Constancy Dose (100 MU)</t>
  </si>
  <si>
    <t>OC_15X_10x10_1</t>
  </si>
  <si>
    <t>OC_15X_10x10_2</t>
  </si>
  <si>
    <t>OC_15X_10x10_3</t>
  </si>
  <si>
    <t>OC_6X_10x10_DOSE</t>
  </si>
  <si>
    <t>OC_10X_10x10_DOSE</t>
  </si>
  <si>
    <t>OC_10Xfff_10x10_DOSE</t>
  </si>
  <si>
    <t>OC_15X_10x10_DOSE</t>
  </si>
  <si>
    <t>#!OC_6X_10x10_DOSE</t>
  </si>
  <si>
    <t>#!OC_10X_10x10_DOSE</t>
  </si>
  <si>
    <t>#!OC_10Xfff_10x10_DOSE</t>
  </si>
  <si>
    <t>#!OC_15X_10x10_DOSE</t>
  </si>
  <si>
    <t>6X Output Constancy Reading (100 MU)</t>
  </si>
  <si>
    <t>10X Output Constancy Reading (100 MU)</t>
  </si>
  <si>
    <t>10Xfff Output Constancy Reading (100 MU)</t>
  </si>
  <si>
    <t>15X Output Constancy Reading (100 MU)</t>
  </si>
  <si>
    <t>#!EDWF_6X</t>
  </si>
  <si>
    <t>#!EDWF_10X</t>
  </si>
  <si>
    <t>#!EDWF_15X</t>
  </si>
  <si>
    <t>6X - EDW Factor (100MU)</t>
  </si>
  <si>
    <t>EDWF_6X</t>
  </si>
  <si>
    <t>10X - EDW Factor (100MU)</t>
  </si>
  <si>
    <t>EDWF_10X</t>
  </si>
  <si>
    <t>15X - EDW Factor (100MU)</t>
  </si>
  <si>
    <t>EDWF_15X</t>
  </si>
  <si>
    <t>6X - EDW Factor - IN</t>
  </si>
  <si>
    <t>EDW60IN_6X</t>
  </si>
  <si>
    <t>6X - EDW Factor - OUT</t>
  </si>
  <si>
    <t>EDW60OUT_6X</t>
  </si>
  <si>
    <t>10X - EDW Factor - IN</t>
  </si>
  <si>
    <t>EDW60IN_10X</t>
  </si>
  <si>
    <t>10X - EDW Factor - OUT</t>
  </si>
  <si>
    <t>EDW60OUT_10X</t>
  </si>
  <si>
    <t>15X - EDW Factor - IN</t>
  </si>
  <si>
    <t>EDW60IN_15X</t>
  </si>
  <si>
    <t>15X - EDW Factor - OUT</t>
  </si>
  <si>
    <t>EDW60OUT_15X</t>
  </si>
  <si>
    <t>#!dmlc_5mm_ratio</t>
  </si>
  <si>
    <t>#!dmlc_5mm_Int_ratio</t>
  </si>
  <si>
    <t>#!dmlc_Hold_ratio</t>
  </si>
  <si>
    <t>#!dmlc_Prostate_6X_ratio</t>
  </si>
  <si>
    <t>dmlc_5mm_ratio</t>
  </si>
  <si>
    <t>dmlc_5mm_Int_ratio</t>
  </si>
  <si>
    <t>dmlc_Hold_ratio</t>
  </si>
  <si>
    <t>dmlc_Prostate_6X_ratio</t>
  </si>
  <si>
    <t>6X - dMLC Factor - 5mm</t>
  </si>
  <si>
    <t>6X - dMLC Factor - 5mm Interrupt</t>
  </si>
  <si>
    <t>6X - dMLC Factor - Hold</t>
  </si>
  <si>
    <t>6X - dMLC Factor - Prostate</t>
  </si>
  <si>
    <t>6X - dMLC Factor - Head and Neck</t>
  </si>
  <si>
    <t>dmlc_5mm_1</t>
  </si>
  <si>
    <t>dmlc_5mm_2</t>
  </si>
  <si>
    <t>dmlc_5mm_Int_1</t>
  </si>
  <si>
    <t>dmlc_5mm_Int_2</t>
  </si>
  <si>
    <t>dmlc_Hold_1</t>
  </si>
  <si>
    <t>dmlc_Hold_2</t>
  </si>
  <si>
    <t>dmlc_Prostate_6X_1</t>
  </si>
  <si>
    <t>dmlc_Prostate_6X_2</t>
  </si>
  <si>
    <t>6X - dMLC Factor - 5mm_1</t>
  </si>
  <si>
    <t>6X - dMLC Factor - 5mm_2</t>
  </si>
  <si>
    <t>6X - dMLC Factor - 5mm_Int_1</t>
  </si>
  <si>
    <t>6X - dMLC Factor - 5mm_Int_2</t>
  </si>
  <si>
    <t>6X - dMLC Factor - Hold_1</t>
  </si>
  <si>
    <t>6X - dMLC Factor - Hold_2</t>
  </si>
  <si>
    <t>6X - dMLC Factor - Prostate_6X_1</t>
  </si>
  <si>
    <t>6X - dMLC Factor - Prostate_6X_2</t>
  </si>
  <si>
    <t>6X - dMLC Factor - H&amp;N_1</t>
  </si>
  <si>
    <t>6X - dMLC Factor - H&amp;N_2</t>
  </si>
  <si>
    <t>#!dmlc_HN_1</t>
  </si>
  <si>
    <t>#!dmlc_HN_2</t>
  </si>
  <si>
    <t>dmlc_HN_1</t>
  </si>
  <si>
    <t>dmlc_HN_2</t>
  </si>
  <si>
    <t>#!dmlc_HN_ratio</t>
  </si>
  <si>
    <t>dmlc_HN_ratio</t>
  </si>
  <si>
    <t>6X - H&amp;N VMAT Factor</t>
  </si>
  <si>
    <t>VMAT_6X_factor</t>
  </si>
  <si>
    <t>#!VMAT_6X_factor</t>
  </si>
  <si>
    <t>6X - H&amp;N VMAT Factor CCW</t>
  </si>
  <si>
    <t>VMAT_factor_ccw</t>
  </si>
  <si>
    <t>VMAT_factor_cw</t>
  </si>
  <si>
    <t>6X - H&amp;N VMAT Factor CW</t>
  </si>
  <si>
    <t>6X - Invalid dMLC Sequence</t>
  </si>
  <si>
    <t>dmlc_error</t>
  </si>
  <si>
    <t>PASS,FAIL</t>
  </si>
  <si>
    <t>#!TMR_6X</t>
  </si>
  <si>
    <t>#!TMR_10X</t>
  </si>
  <si>
    <t>#!TMR_10fff</t>
  </si>
  <si>
    <t>6X - TMR (100MU) Reading</t>
  </si>
  <si>
    <t>TMR_6X_1</t>
  </si>
  <si>
    <t>TMR_6X_2</t>
  </si>
  <si>
    <t>10X - TMR (100MU) Reading</t>
  </si>
  <si>
    <t>TMR_10X_1</t>
  </si>
  <si>
    <t>TMR_10X_2</t>
  </si>
  <si>
    <t>10fff - TMR (100MU) Reading</t>
  </si>
  <si>
    <t>TMR_10fff_1</t>
  </si>
  <si>
    <t>TMR_10fff_2</t>
  </si>
  <si>
    <t>15 - TMR (100MU) Reading</t>
  </si>
  <si>
    <t>6X - TMR (100MU)</t>
  </si>
  <si>
    <t>TMR_6X</t>
  </si>
  <si>
    <t>10X - TMR (100MU)</t>
  </si>
  <si>
    <t>TMR_10X</t>
  </si>
  <si>
    <t>10fff - TMR (100MU)</t>
  </si>
  <si>
    <t>TMR_10fff</t>
  </si>
  <si>
    <t>15 - TMR (100MU)</t>
  </si>
  <si>
    <t>#!TMR_15X</t>
  </si>
  <si>
    <t>#!TMR_15X_1</t>
  </si>
  <si>
    <t>#!TMR_15X_2</t>
  </si>
  <si>
    <t>TMR_15X</t>
  </si>
  <si>
    <t>TMR_15X_1</t>
  </si>
  <si>
    <t>TMR_15X_2</t>
  </si>
  <si>
    <t>#!dose_index_THORAX_corr</t>
  </si>
  <si>
    <t>#!dose_index_PELVIS_corr</t>
  </si>
  <si>
    <t>dose_index_THORAX_corr</t>
  </si>
  <si>
    <t>dose_index_PELVIS_corr</t>
  </si>
  <si>
    <t>Head kV CBCT Dose Index</t>
  </si>
  <si>
    <t>Spotlight kV CBCT Dose Index</t>
  </si>
  <si>
    <t>Thorax kV CBCT Dose Index</t>
  </si>
  <si>
    <t>Pelvis kV CBCT Dose Index</t>
  </si>
  <si>
    <t>dose_index_THORAX</t>
  </si>
  <si>
    <t>dose_index_PELVIS</t>
  </si>
  <si>
    <t>#!dose_index_HEAD_corr</t>
  </si>
  <si>
    <t>#!dose_index_SPOTLIGHT_corr</t>
  </si>
  <si>
    <t>#!dose_index_HEAD</t>
  </si>
  <si>
    <t>#!dose_index_SPOTLIGHT</t>
  </si>
  <si>
    <t>dose_index_HEAD_corr</t>
  </si>
  <si>
    <t>dose_index_SPOTLIGHT_corr</t>
  </si>
  <si>
    <t>dose_index_HEAD</t>
  </si>
  <si>
    <t>dose_index_SPOTLIGHT</t>
  </si>
  <si>
    <t>#!OC_6E_DOSE</t>
  </si>
  <si>
    <t>#!OC_9E_DOSE</t>
  </si>
  <si>
    <t>#!OC_12E_DOSE</t>
  </si>
  <si>
    <t>#!OC_16E_DOSE</t>
  </si>
  <si>
    <t>#!OC_20E_DOSE</t>
  </si>
  <si>
    <t>6E Output Constancy Reading (100 MU)</t>
  </si>
  <si>
    <t>OC_6E_DOSE</t>
  </si>
  <si>
    <t>9E Output Constancy Reading (100 MU)</t>
  </si>
  <si>
    <t>OC_9E_DOSE</t>
  </si>
  <si>
    <t>12E Output Constancy Reading (100 MU)</t>
  </si>
  <si>
    <t>OC_12E_DOSE</t>
  </si>
  <si>
    <t>16E Output Constancy Reading (100 MU)</t>
  </si>
  <si>
    <t>OC_16E_DOSE</t>
  </si>
  <si>
    <t>20E Output Constancy Reading (100 MU)</t>
  </si>
  <si>
    <t>OC_20E_DOSE</t>
  </si>
  <si>
    <t>6E Output Constancy Dose (100 MU)</t>
  </si>
  <si>
    <t>9E Output Constancy Dose (100 MU)</t>
  </si>
  <si>
    <t>12E Output Constancy Dose (100 MU)</t>
  </si>
  <si>
    <t>16E Output Constancy Dose (100 MU)</t>
  </si>
  <si>
    <t>20E Output Constancy Dose (100 MU)</t>
  </si>
  <si>
    <t>OC_6E_1</t>
  </si>
  <si>
    <t>OC_6E_2</t>
  </si>
  <si>
    <t>OC_6E_3</t>
  </si>
  <si>
    <t>OC_9E_1</t>
  </si>
  <si>
    <t>OC_9E_2</t>
  </si>
  <si>
    <t>OC_9E_3</t>
  </si>
  <si>
    <t>OC_12E_1</t>
  </si>
  <si>
    <t>OC_12E_2</t>
  </si>
  <si>
    <t>OC_12E_3</t>
  </si>
  <si>
    <t>OC_16E_1</t>
  </si>
  <si>
    <t>OC_16E_2</t>
  </si>
  <si>
    <t>OC_16E_3</t>
  </si>
  <si>
    <t>OC_20E_1</t>
  </si>
  <si>
    <t>OC_20E_2</t>
  </si>
  <si>
    <t>OC_20E_3</t>
  </si>
  <si>
    <t>#!vibirch_tb3_electron_6e_fc</t>
  </si>
  <si>
    <t>#!vibirch_tb3_electron_9e_fc</t>
  </si>
  <si>
    <t>#!vibirch_tb3_electron_12e_fc</t>
  </si>
  <si>
    <t>#!vibirch_tb3_electron_16e_fc</t>
  </si>
  <si>
    <t>#!vibirch_tb3_electron_20e_fc</t>
  </si>
  <si>
    <t>vibirch_tb3_electron_6e_fc</t>
  </si>
  <si>
    <t>vibirch_tb3_electron_9e_fc</t>
  </si>
  <si>
    <t>vibirch_tb3_electron_12e_fc</t>
  </si>
  <si>
    <t>vibirch_tb3_electron_16e_fc</t>
  </si>
  <si>
    <t>vibirch_tb3_electron_20e_fc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</si>
</sst>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3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5" fillId="3" borderId="0" xfId="0" applyFont="1" applyFill="1" applyAlignment="1">
      <alignment horizontal="right"/>
    </xf>
    <xf numFmtId="164" fontId="3" fillId="3" borderId="9" xfId="0" applyNumberFormat="1" applyFont="1" applyFill="1" applyBorder="1" applyAlignment="1" applyProtection="1">
      <alignment horizontal="center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9" xfId="0" applyFont="1" applyFill="1" applyBorder="1" applyAlignment="1" applyProtection="1">
      <alignment horizontal="center" shrinkToFit="1"/>
      <protection locked="0"/>
    </xf>
    <xf numFmtId="164" fontId="3" fillId="3" borderId="9" xfId="0" applyNumberFormat="1" applyFont="1" applyFill="1" applyBorder="1" applyAlignment="1">
      <alignment horizontal="center"/>
    </xf>
    <xf numFmtId="0" fontId="35" fillId="3" borderId="0" xfId="0" applyFont="1" applyFill="1"/>
    <xf numFmtId="2" fontId="3" fillId="3" borderId="12" xfId="0" applyNumberFormat="1" applyFont="1" applyFill="1" applyBorder="1" applyAlignment="1" applyProtection="1">
      <alignment horizontal="center"/>
      <protection locked="0"/>
    </xf>
    <xf numFmtId="164" fontId="3" fillId="3" borderId="12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6" fillId="3" borderId="0" xfId="0" applyFont="1" applyFill="1"/>
    <xf numFmtId="0" fontId="0" fillId="4" borderId="0" xfId="0" applyFill="1"/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0" fillId="9" borderId="8" xfId="0" applyFill="1" applyBorder="1" applyAlignment="1"/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86"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34</xdr:row>
      <xdr:rowOff>0</xdr:rowOff>
    </xdr:from>
    <xdr:to>
      <xdr:col>15</xdr:col>
      <xdr:colOff>2200275</xdr:colOff>
      <xdr:row>34</xdr:row>
      <xdr:rowOff>0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10648950" y="4953000"/>
          <a:ext cx="1885950" cy="0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1505" name="cmdClea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1506" name="cmdPrint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8</xdr:col>
          <xdr:colOff>1104900</xdr:colOff>
          <xdr:row>7</xdr:row>
          <xdr:rowOff>57150</xdr:rowOff>
        </xdr:to>
        <xdr:sp macro="" textlink="">
          <xdr:nvSpPr>
            <xdr:cNvPr id="21507" name="cmdOPTrend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1508" name="cmdSave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1509" name="lbl_Audit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1510" name="lbl_Xray_Outputs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1511" name="lbl_Electron_Outputs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1512" name="lbl_MVD_Measurements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1513" name="lbl_Registration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1514" name="lbl_Motion_Management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1515" name="lbl_KV_Planar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1516" name="lbl_CBCT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FIR_TB1_JUN_2023_PRA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>
        <row r="12">
          <cell r="M12">
            <v>2023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control" Target="../activeX/activeX8.xml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image" Target="../media/image6.emf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mments" Target="../comments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control" Target="../activeX/activeX20.xml"/><Relationship Id="rId18" Type="http://schemas.openxmlformats.org/officeDocument/2006/relationships/control" Target="../activeX/activeX2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3.emf"/><Relationship Id="rId7" Type="http://schemas.openxmlformats.org/officeDocument/2006/relationships/control" Target="../activeX/activeX15.xml"/><Relationship Id="rId12" Type="http://schemas.openxmlformats.org/officeDocument/2006/relationships/control" Target="../activeX/activeX19.xml"/><Relationship Id="rId17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2.xml"/><Relationship Id="rId20" Type="http://schemas.openxmlformats.org/officeDocument/2006/relationships/control" Target="../activeX/activeX2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6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18.xml"/><Relationship Id="rId19" Type="http://schemas.openxmlformats.org/officeDocument/2006/relationships/image" Target="../media/image12.emf"/><Relationship Id="rId4" Type="http://schemas.openxmlformats.org/officeDocument/2006/relationships/control" Target="../activeX/activeX13.xml"/><Relationship Id="rId9" Type="http://schemas.openxmlformats.org/officeDocument/2006/relationships/control" Target="../activeX/activeX17.xml"/><Relationship Id="rId14" Type="http://schemas.openxmlformats.org/officeDocument/2006/relationships/control" Target="../activeX/activeX21.xml"/><Relationship Id="rId2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opLeftCell="A16" zoomScaleNormal="100" workbookViewId="0">
      <selection activeCell="L71" sqref="L71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 t="s">
        <v>127</v>
      </c>
      <c r="I12" s="312"/>
      <c r="J12" s="313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4" t="s">
        <v>22</v>
      </c>
      <c r="G15" s="325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 t="s">
        <v>534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6" t="s">
        <v>17</v>
      </c>
      <c r="G21" s="327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3" t="s">
        <v>17</v>
      </c>
      <c r="L24" s="323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08"/>
      <c r="K27" s="309"/>
      <c r="L27" s="309"/>
      <c r="M27" s="31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08"/>
      <c r="K28" s="309"/>
      <c r="L28" s="309"/>
      <c r="M28" s="31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08"/>
      <c r="K29" s="309"/>
      <c r="L29" s="309"/>
      <c r="M29" s="31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08"/>
      <c r="K30" s="309"/>
      <c r="L30" s="309"/>
      <c r="M30" s="31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08" t="s">
        <v>535</v>
      </c>
      <c r="K31" s="309"/>
      <c r="L31" s="309"/>
      <c r="M31" s="31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3" t="s">
        <v>528</v>
      </c>
      <c r="L33" s="323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hidden="1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hidden="1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hidden="1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hidden="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hidden="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hidden="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hidden="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hidden="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hidden="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hidden="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hidden="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hidden="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hidden="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hidden="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hidden="1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hidden="1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hidden="1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hidden="1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hidden="1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hidden="1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hidden="1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hidden="1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hidden="1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hidden="1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hidden="1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hidden="1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hidden="1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hidden="1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hidden="1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hidden="1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hidden="1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hidden="1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hidden="1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hidden="1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hidden="1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hidden="1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hidden="1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hidden="1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hidden="1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hidden="1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hidden="1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hidden="1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hidden="1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hidden="1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hidden="1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hidden="1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hidden="1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hidden="1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hidden="1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hidden="1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hidden="1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hidden="1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hidden="1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hidden="1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hidden="1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hidden="1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hidden="1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hidden="1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hidden="1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hidden="1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hidden="1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hidden="1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hidden="1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hidden="1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hidden="1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hidden="1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hidden="1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hidden="1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3" t="s">
        <v>528</v>
      </c>
      <c r="L103" s="323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3" t="s">
        <v>528</v>
      </c>
      <c r="L122" s="323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02"/>
      <c r="G173" s="303"/>
      <c r="H173" s="303"/>
      <c r="I173" s="303"/>
      <c r="J173" s="303"/>
      <c r="K173" s="303"/>
      <c r="L173" s="30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05"/>
      <c r="G174" s="306"/>
      <c r="H174" s="306"/>
      <c r="I174" s="306"/>
      <c r="J174" s="306"/>
      <c r="K174" s="306"/>
      <c r="L174" s="30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02"/>
      <c r="E188" s="303"/>
      <c r="F188" s="303"/>
      <c r="G188" s="303"/>
      <c r="H188" s="303"/>
      <c r="I188" s="303"/>
      <c r="J188" s="303"/>
      <c r="K188" s="303"/>
      <c r="L188" s="304"/>
      <c r="M188" s="7"/>
      <c r="N188" s="228"/>
    </row>
    <row r="189" spans="2:14" hidden="1" x14ac:dyDescent="0.2">
      <c r="B189" s="227"/>
      <c r="C189" s="7"/>
      <c r="D189" s="305"/>
      <c r="E189" s="306"/>
      <c r="F189" s="306"/>
      <c r="G189" s="306"/>
      <c r="H189" s="306"/>
      <c r="I189" s="306"/>
      <c r="J189" s="306"/>
      <c r="K189" s="306"/>
      <c r="L189" s="30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28" t="s">
        <v>530</v>
      </c>
      <c r="M213" s="329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28" t="s">
        <v>529</v>
      </c>
      <c r="M214" s="329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02"/>
      <c r="E237" s="303"/>
      <c r="F237" s="303"/>
      <c r="G237" s="303"/>
      <c r="H237" s="303"/>
      <c r="I237" s="303"/>
      <c r="J237" s="303"/>
      <c r="K237" s="303"/>
      <c r="L237" s="304"/>
      <c r="M237" s="80"/>
      <c r="N237" s="228"/>
      <c r="O237" s="4"/>
    </row>
    <row r="238" spans="2:15" hidden="1" x14ac:dyDescent="0.2">
      <c r="B238" s="230"/>
      <c r="C238" s="118"/>
      <c r="D238" s="305"/>
      <c r="E238" s="306"/>
      <c r="F238" s="306"/>
      <c r="G238" s="306"/>
      <c r="H238" s="306"/>
      <c r="I238" s="306"/>
      <c r="J238" s="306"/>
      <c r="K238" s="306"/>
      <c r="L238" s="30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3" t="s">
        <v>528</v>
      </c>
      <c r="L240" s="323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3" t="s">
        <v>528</v>
      </c>
      <c r="L273" s="323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8"/>
      <c r="F290" s="341"/>
      <c r="G290" s="341"/>
      <c r="H290" s="341"/>
      <c r="I290" s="341"/>
      <c r="J290" s="341"/>
      <c r="K290" s="341"/>
      <c r="L290" s="341"/>
      <c r="M290" s="342"/>
      <c r="N290" s="247"/>
      <c r="O290" s="4"/>
    </row>
    <row r="291" spans="2:16" hidden="1" x14ac:dyDescent="0.2">
      <c r="B291" s="227"/>
      <c r="C291" s="79"/>
      <c r="D291" s="79"/>
      <c r="E291" s="308"/>
      <c r="F291" s="309"/>
      <c r="G291" s="309"/>
      <c r="H291" s="309"/>
      <c r="I291" s="309"/>
      <c r="J291" s="309"/>
      <c r="K291" s="309"/>
      <c r="L291" s="309"/>
      <c r="M291" s="31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3" t="s">
        <v>528</v>
      </c>
      <c r="L293" s="323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328" t="s">
        <v>531</v>
      </c>
      <c r="M305" s="329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38"/>
      <c r="G308" s="339"/>
      <c r="H308" s="339"/>
      <c r="I308" s="339"/>
      <c r="J308" s="339"/>
      <c r="K308" s="339"/>
      <c r="L308" s="340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32"/>
      <c r="G309" s="333"/>
      <c r="H309" s="333"/>
      <c r="I309" s="333"/>
      <c r="J309" s="333"/>
      <c r="K309" s="333"/>
      <c r="L309" s="334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28" t="s">
        <v>532</v>
      </c>
      <c r="M323" s="329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28" t="s">
        <v>533</v>
      </c>
      <c r="M324" s="329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3" t="s">
        <v>528</v>
      </c>
      <c r="L340" s="323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335"/>
      <c r="J351" s="336"/>
      <c r="K351" s="336"/>
      <c r="L351" s="336"/>
      <c r="M351" s="337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30" t="s">
        <v>299</v>
      </c>
      <c r="G381" s="331"/>
      <c r="H381" s="331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31"/>
      <c r="G382" s="331"/>
      <c r="H382" s="331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85" priority="209" stopIfTrue="1" operator="equal">
      <formula>""</formula>
    </cfRule>
  </conditionalFormatting>
  <conditionalFormatting sqref="H12:J12">
    <cfRule type="cellIs" dxfId="84" priority="210" stopIfTrue="1" operator="equal">
      <formula>$Q$6</formula>
    </cfRule>
  </conditionalFormatting>
  <conditionalFormatting sqref="M21">
    <cfRule type="cellIs" dxfId="83" priority="208" stopIfTrue="1" operator="equal">
      <formula>$Q$6</formula>
    </cfRule>
  </conditionalFormatting>
  <conditionalFormatting sqref="F308:F309 F173:L174">
    <cfRule type="cellIs" dxfId="82" priority="198" stopIfTrue="1" operator="equal">
      <formula>$Q$6</formula>
    </cfRule>
  </conditionalFormatting>
  <conditionalFormatting sqref="D237:L238 D188:L189">
    <cfRule type="cellIs" dxfId="81" priority="197" stopIfTrue="1" operator="equal">
      <formula>$Q$6</formula>
    </cfRule>
  </conditionalFormatting>
  <conditionalFormatting sqref="E227:I227 J305:K305 N305">
    <cfRule type="cellIs" dxfId="80" priority="90" stopIfTrue="1" operator="equal">
      <formula>$Q$8</formula>
    </cfRule>
  </conditionalFormatting>
  <conditionalFormatting sqref="I351:M351">
    <cfRule type="cellIs" dxfId="79" priority="80" stopIfTrue="1" operator="equal">
      <formula>$Q$6</formula>
    </cfRule>
  </conditionalFormatting>
  <conditionalFormatting sqref="J214">
    <cfRule type="cellIs" dxfId="78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77" priority="67" stopIfTrue="1" operator="equal">
      <formula>"FAIL"</formula>
    </cfRule>
  </conditionalFormatting>
  <conditionalFormatting sqref="H27:H31">
    <cfRule type="cellIs" dxfId="76" priority="40" stopIfTrue="1" operator="equal">
      <formula>"NOT REVIEWED"</formula>
    </cfRule>
  </conditionalFormatting>
  <conditionalFormatting sqref="M47:N50 M62:N66 M72:N72 M85:N88 L98:L100 L55:L57 M116:N120">
    <cfRule type="cellIs" dxfId="75" priority="38" stopIfTrue="1" operator="equal">
      <formula>"MARGINAL"</formula>
    </cfRule>
  </conditionalFormatting>
  <conditionalFormatting sqref="K170">
    <cfRule type="cellIs" dxfId="74" priority="29" stopIfTrue="1" operator="equal">
      <formula>"FAIL"</formula>
    </cfRule>
  </conditionalFormatting>
  <conditionalFormatting sqref="J131:J137 J145:J147 L161 L186 F186 I186:J186 D198 D206 J214 E227:I227 G230:G235">
    <cfRule type="cellIs" dxfId="73" priority="28" stopIfTrue="1" operator="equal">
      <formula>"FAIL"</formula>
    </cfRule>
  </conditionalFormatting>
  <conditionalFormatting sqref="E226:I226">
    <cfRule type="cellIs" dxfId="72" priority="27" stopIfTrue="1" operator="equal">
      <formula>"FAIL"</formula>
    </cfRule>
  </conditionalFormatting>
  <conditionalFormatting sqref="K101 E101 G101 I101">
    <cfRule type="cellIs" dxfId="71" priority="26" stopIfTrue="1" operator="equal">
      <formula>""</formula>
    </cfRule>
  </conditionalFormatting>
  <conditionalFormatting sqref="L101">
    <cfRule type="cellIs" dxfId="70" priority="23" stopIfTrue="1" operator="equal">
      <formula>"FAIL"</formula>
    </cfRule>
  </conditionalFormatting>
  <conditionalFormatting sqref="L101">
    <cfRule type="cellIs" dxfId="69" priority="22" stopIfTrue="1" operator="equal">
      <formula>"MARGINAL"</formula>
    </cfRule>
  </conditionalFormatting>
  <conditionalFormatting sqref="L213:M214">
    <cfRule type="cellIs" dxfId="68" priority="21" stopIfTrue="1" operator="equal">
      <formula>$Q$6</formula>
    </cfRule>
  </conditionalFormatting>
  <conditionalFormatting sqref="L323:M324">
    <cfRule type="cellIs" dxfId="67" priority="20" stopIfTrue="1" operator="equal">
      <formula>$Q$6</formula>
    </cfRule>
  </conditionalFormatting>
  <conditionalFormatting sqref="K24:L24">
    <cfRule type="cellIs" dxfId="66" priority="19" stopIfTrue="1" operator="notEqual">
      <formula>""</formula>
    </cfRule>
  </conditionalFormatting>
  <conditionalFormatting sqref="K33:L33">
    <cfRule type="cellIs" dxfId="65" priority="18" stopIfTrue="1" operator="notEqual">
      <formula>""</formula>
    </cfRule>
  </conditionalFormatting>
  <conditionalFormatting sqref="K103:L103">
    <cfRule type="cellIs" dxfId="64" priority="17" stopIfTrue="1" operator="notEqual">
      <formula>""</formula>
    </cfRule>
  </conditionalFormatting>
  <conditionalFormatting sqref="K122:L122">
    <cfRule type="cellIs" dxfId="63" priority="16" stopIfTrue="1" operator="notEqual">
      <formula>""</formula>
    </cfRule>
  </conditionalFormatting>
  <conditionalFormatting sqref="K240:L240">
    <cfRule type="cellIs" dxfId="62" priority="15" stopIfTrue="1" operator="notEqual">
      <formula>""</formula>
    </cfRule>
  </conditionalFormatting>
  <conditionalFormatting sqref="K273:L273">
    <cfRule type="cellIs" dxfId="61" priority="14" stopIfTrue="1" operator="notEqual">
      <formula>""</formula>
    </cfRule>
  </conditionalFormatting>
  <conditionalFormatting sqref="K293:L293">
    <cfRule type="cellIs" dxfId="60" priority="13" stopIfTrue="1" operator="notEqual">
      <formula>""</formula>
    </cfRule>
  </conditionalFormatting>
  <conditionalFormatting sqref="K340:L340">
    <cfRule type="cellIs" dxfId="59" priority="12" stopIfTrue="1" operator="notEqual">
      <formula>""</formula>
    </cfRule>
  </conditionalFormatting>
  <conditionalFormatting sqref="F15 M15 H27:H31">
    <cfRule type="cellIs" dxfId="58" priority="11" stopIfTrue="1" operator="equal">
      <formula>""</formula>
    </cfRule>
  </conditionalFormatting>
  <conditionalFormatting sqref="G98:G100">
    <cfRule type="cellIs" dxfId="57" priority="10" stopIfTrue="1" operator="equal">
      <formula>""</formula>
    </cfRule>
  </conditionalFormatting>
  <conditionalFormatting sqref="G351 D206 J186 D198">
    <cfRule type="cellIs" dxfId="56" priority="215" stopIfTrue="1" operator="equal">
      <formula>$Q$6</formula>
    </cfRule>
    <cfRule type="cellIs" dxfId="55" priority="216" stopIfTrue="1" operator="equal">
      <formula>$Q$8</formula>
    </cfRule>
  </conditionalFormatting>
  <conditionalFormatting sqref="E235:F235">
    <cfRule type="cellIs" dxfId="54" priority="9" stopIfTrue="1" operator="equal">
      <formula>""</formula>
    </cfRule>
  </conditionalFormatting>
  <conditionalFormatting sqref="I235">
    <cfRule type="cellIs" dxfId="53" priority="8" stopIfTrue="1" operator="equal">
      <formula>"FAIL"</formula>
    </cfRule>
  </conditionalFormatting>
  <conditionalFormatting sqref="I235">
    <cfRule type="cellIs" dxfId="52" priority="7" stopIfTrue="1" operator="equal">
      <formula>"FAIL"</formula>
    </cfRule>
  </conditionalFormatting>
  <conditionalFormatting sqref="L305:M305">
    <cfRule type="cellIs" dxfId="51" priority="6" stopIfTrue="1" operator="equal">
      <formula>$Q$6</formula>
    </cfRule>
  </conditionalFormatting>
  <conditionalFormatting sqref="J15">
    <cfRule type="cellIs" dxfId="50" priority="4" stopIfTrue="1" operator="equal">
      <formula>$Q$8</formula>
    </cfRule>
    <cfRule type="cellIs" dxfId="49" priority="5" stopIfTrue="1" operator="equal">
      <formula>$Q$6</formula>
    </cfRule>
  </conditionalFormatting>
  <conditionalFormatting sqref="J15">
    <cfRule type="cellIs" dxfId="48" priority="3" stopIfTrue="1" operator="equal">
      <formula>""</formula>
    </cfRule>
  </conditionalFormatting>
  <conditionalFormatting sqref="F15:G15">
    <cfRule type="cellIs" dxfId="47" priority="1" stopIfTrue="1" operator="equal">
      <formula>"CONDITIONAL PASS"</formula>
    </cfRule>
    <cfRule type="cellIs" dxfId="46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136" r:id="rId5" name="cmdClear">
          <controlPr locked="0" defaultSize="0" autoLine="0" r:id="rId6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5" name="cmdClear"/>
      </mc:Fallback>
    </mc:AlternateContent>
    <mc:AlternateContent xmlns:mc="http://schemas.openxmlformats.org/markup-compatibility/2006">
      <mc:Choice Requires="x14">
        <control shapeId="1144" r:id="rId7" name="cmdPrint">
          <controlPr locked="0" defaultSize="0" autoLine="0" r:id="rId8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7" name="cmdPrint"/>
      </mc:Fallback>
    </mc:AlternateContent>
    <mc:AlternateContent xmlns:mc="http://schemas.openxmlformats.org/markup-compatibility/2006">
      <mc:Choice Requires="x14">
        <control shapeId="1148" r:id="rId9" name="cmdOPTrend">
          <controlPr locked="0" defaultSize="0" autoLine="0" r:id="rId10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9" name="cmdOPTrend"/>
      </mc:Fallback>
    </mc:AlternateContent>
    <mc:AlternateContent xmlns:mc="http://schemas.openxmlformats.org/markup-compatibility/2006">
      <mc:Choice Requires="x14">
        <control shapeId="1187" r:id="rId11" name="cmdSave">
          <controlPr locked="0" defaultSize="0" autoLine="0" r:id="rId12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1" name="cmdSave"/>
      </mc:Fallback>
    </mc:AlternateContent>
    <mc:AlternateContent xmlns:mc="http://schemas.openxmlformats.org/markup-compatibility/2006">
      <mc:Choice Requires="x14">
        <control shapeId="14602" r:id="rId13" name="lbl_Audit">
          <controlPr defaultSize="0" autoFill="0" autoLine="0" r:id="rId14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3" name="lbl_Audit"/>
      </mc:Fallback>
    </mc:AlternateContent>
    <mc:AlternateContent xmlns:mc="http://schemas.openxmlformats.org/markup-compatibility/2006">
      <mc:Choice Requires="x14">
        <control shapeId="14709" r:id="rId15" name="lbl_Xray_Outputs">
          <controlPr defaultSize="0" autoFill="0" autoLine="0" r:id="rId14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5" name="lbl_Xray_Outputs"/>
      </mc:Fallback>
    </mc:AlternateContent>
    <mc:AlternateContent xmlns:mc="http://schemas.openxmlformats.org/markup-compatibility/2006">
      <mc:Choice Requires="x14">
        <control shapeId="14736" r:id="rId16" name="lbl_Electron_Outputs">
          <controlPr defaultSize="0" autoFill="0" autoLine="0" r:id="rId17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6" name="lbl_Electron_Outputs"/>
      </mc:Fallback>
    </mc:AlternateContent>
    <mc:AlternateContent xmlns:mc="http://schemas.openxmlformats.org/markup-compatibility/2006">
      <mc:Choice Requires="x14">
        <control shapeId="14738" r:id="rId18" name="lbl_MVD_Measurements">
          <controlPr defaultSize="0" autoFill="0" autoLine="0" r:id="rId14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8" name="lbl_MVD_Measurements"/>
      </mc:Fallback>
    </mc:AlternateContent>
    <mc:AlternateContent xmlns:mc="http://schemas.openxmlformats.org/markup-compatibility/2006">
      <mc:Choice Requires="x14">
        <control shapeId="14811" r:id="rId19" name="lbl_Registration">
          <controlPr defaultSize="0" autoFill="0" autoLine="0" r:id="rId14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19" name="lbl_Registration"/>
      </mc:Fallback>
    </mc:AlternateContent>
    <mc:AlternateContent xmlns:mc="http://schemas.openxmlformats.org/markup-compatibility/2006">
      <mc:Choice Requires="x14">
        <control shapeId="14832" r:id="rId20" name="lbl_Motion_Management">
          <controlPr defaultSize="0" autoFill="0" autoLine="0" r:id="rId14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20" name="lbl_Motion_Management"/>
      </mc:Fallback>
    </mc:AlternateContent>
    <mc:AlternateContent xmlns:mc="http://schemas.openxmlformats.org/markup-compatibility/2006">
      <mc:Choice Requires="x14">
        <control shapeId="14893" r:id="rId21" name="lbl_KV_Planar">
          <controlPr defaultSize="0" autoFill="0" autoLine="0" r:id="rId14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21" name="lbl_KV_Planar"/>
      </mc:Fallback>
    </mc:AlternateContent>
    <mc:AlternateContent xmlns:mc="http://schemas.openxmlformats.org/markup-compatibility/2006">
      <mc:Choice Requires="x14">
        <control shapeId="14894" r:id="rId22" name="lbl_CBCT">
          <controlPr defaultSize="0" autoFill="0" autoLine="0" r:id="rId14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22" name="lbl_CB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topLeftCell="A37" zoomScale="115" zoomScaleNormal="115" workbookViewId="0">
      <pane xSplit="32505" topLeftCell="Y1"/>
      <selection activeCell="K52" sqref="K52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opLeftCell="A97" zoomScaleNormal="100" workbookViewId="0">
      <selection activeCell="G75" sqref="G75"/>
    </sheetView>
  </sheetViews>
  <sheetFormatPr defaultRowHeight="12.75" x14ac:dyDescent="0.2"/>
  <cols>
    <col min="1" max="1" width="3.7109375" style="3" customWidth="1"/>
    <col min="2" max="2" width="3.7109375" customWidth="1"/>
    <col min="3" max="8" width="11.7109375" customWidth="1"/>
    <col min="9" max="9" width="23" customWidth="1"/>
    <col min="10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/>
      <c r="I12" s="312"/>
      <c r="J12" s="313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4"/>
      <c r="G15" s="325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/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6"/>
      <c r="G21" s="327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3"/>
      <c r="L24" s="323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08"/>
      <c r="K27" s="309"/>
      <c r="L27" s="309"/>
      <c r="M27" s="31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08"/>
      <c r="K28" s="309"/>
      <c r="L28" s="309"/>
      <c r="M28" s="31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08"/>
      <c r="K29" s="309"/>
      <c r="L29" s="309"/>
      <c r="M29" s="31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08"/>
      <c r="K30" s="309"/>
      <c r="L30" s="309"/>
      <c r="M30" s="31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08"/>
      <c r="K31" s="309"/>
      <c r="L31" s="309"/>
      <c r="M31" s="31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3"/>
      <c r="L33" s="323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112" t="s">
        <v>536</v>
      </c>
      <c r="F35" s="286" t="s">
        <v>537</v>
      </c>
      <c r="G35" s="112" t="s">
        <v>538</v>
      </c>
      <c r="H35" s="1"/>
      <c r="I35" s="22" t="s">
        <v>262</v>
      </c>
      <c r="J35" s="287" t="s">
        <v>539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288"/>
      <c r="E36" s="288"/>
      <c r="F36" s="288"/>
      <c r="G36" s="288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133" t="s">
        <v>762</v>
      </c>
      <c r="F37" s="289" t="s">
        <v>28</v>
      </c>
      <c r="G37" s="290" t="s">
        <v>550</v>
      </c>
      <c r="H37" s="7"/>
      <c r="I37" s="185" t="s">
        <v>479</v>
      </c>
      <c r="J37" s="291" t="s">
        <v>542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 t="str">
        <f>IF(H$12="","",VLOOKUP(H$12,Data!$S$32:$X$37,3,FALSE))</f>
        <v/>
      </c>
      <c r="E47" s="164" t="s">
        <v>763</v>
      </c>
      <c r="F47" s="164" t="s">
        <v>764</v>
      </c>
      <c r="G47" s="164" t="s">
        <v>765</v>
      </c>
      <c r="H47" s="38" t="e">
        <f>IF(OR(E47&lt;&gt;"",F47&lt;&gt;"",G47&lt;&gt;""),AVERAGE(E47:G47),"")</f>
        <v>#DIV/0!</v>
      </c>
      <c r="I47" t="s">
        <v>832</v>
      </c>
      <c r="J47" s="35">
        <f>IF(C47="","",100)</f>
        <v>100</v>
      </c>
      <c r="K47" s="35" t="e">
        <f>IF(I47&lt;&gt;"",I47-J47,"")</f>
        <v>#VALUE!</v>
      </c>
      <c r="L47" s="35">
        <f>IF(C47="","",2)</f>
        <v>2</v>
      </c>
      <c r="M47" s="36" t="e">
        <f>IF(K47="","",IF(ABS(K47)&lt;=L47/2,"PASS",IF(ABS(K47)&lt;=L47,"MARGINAL","FAIL")))</f>
        <v>#VALUE!</v>
      </c>
      <c r="N47" s="231"/>
      <c r="O47" s="4"/>
    </row>
    <row r="48" spans="2:61" x14ac:dyDescent="0.2">
      <c r="B48" s="227"/>
      <c r="C48" s="37">
        <v>10</v>
      </c>
      <c r="D48" s="77" t="str">
        <f>IF(H$12="","",VLOOKUP(H$12,Data!$S$32:$X$37,4,FALSE))</f>
        <v/>
      </c>
      <c r="E48" s="164" t="s">
        <v>766</v>
      </c>
      <c r="F48" s="164" t="s">
        <v>767</v>
      </c>
      <c r="G48" s="164" t="s">
        <v>768</v>
      </c>
      <c r="H48" s="38" t="e">
        <f>IF(OR(E48&lt;&gt;"",F48&lt;&gt;"",G48&lt;&gt;""),AVERAGE(E48:G48),"")</f>
        <v>#DIV/0!</v>
      </c>
      <c r="I48" t="s">
        <v>833</v>
      </c>
      <c r="J48" s="39">
        <f>IF(C48="","",100)</f>
        <v>100</v>
      </c>
      <c r="K48" s="39" t="e">
        <f>IF(I48&lt;&gt;"",I48-J48,"")</f>
        <v>#VALUE!</v>
      </c>
      <c r="L48" s="39">
        <f>IF(C48="","",2)</f>
        <v>2</v>
      </c>
      <c r="M48" s="36" t="e">
        <f>IF(K48="","",IF(ABS(K48)&lt;=L48/2,"PASS",IF(ABS(K48)&lt;=L48,"MARGINAL","FAIL")))</f>
        <v>#VALUE!</v>
      </c>
      <c r="N48" s="231"/>
      <c r="O48" s="4"/>
    </row>
    <row r="49" spans="2:16" x14ac:dyDescent="0.2">
      <c r="B49" s="227"/>
      <c r="C49" s="37" t="s">
        <v>137</v>
      </c>
      <c r="D49" s="77" t="str">
        <f>IF(H$12="","",VLOOKUP(H$12,Data!$S$32:$X$37,6,FALSE))</f>
        <v/>
      </c>
      <c r="E49" s="164" t="s">
        <v>769</v>
      </c>
      <c r="F49" s="164" t="s">
        <v>770</v>
      </c>
      <c r="G49" s="164" t="s">
        <v>771</v>
      </c>
      <c r="H49" s="38" t="e">
        <f>IF(OR(E49&lt;&gt;"",F49&lt;&gt;"",G49&lt;&gt;""),AVERAGE(E49:G49),"")</f>
        <v>#DIV/0!</v>
      </c>
      <c r="I49" t="s">
        <v>834</v>
      </c>
      <c r="J49" s="39">
        <f>IF(C49="","",100)</f>
        <v>100</v>
      </c>
      <c r="K49" s="39" t="e">
        <f>IF(I49&lt;&gt;"",I49-J49,"")</f>
        <v>#VALUE!</v>
      </c>
      <c r="L49" s="39">
        <f>IF(C49="","",2)</f>
        <v>2</v>
      </c>
      <c r="M49" s="36" t="e">
        <f>IF(K49="","",IF(ABS(K49)&lt;=L49/2,"PASS",IF(ABS(K49)&lt;=L49,"MARGINAL","FAIL")))</f>
        <v>#VALUE!</v>
      </c>
      <c r="N49" s="231"/>
      <c r="O49" s="4"/>
    </row>
    <row r="50" spans="2:16" x14ac:dyDescent="0.2">
      <c r="B50" s="227"/>
      <c r="C50" s="37">
        <v>15</v>
      </c>
      <c r="D50" s="77" t="str">
        <f>IF(H$12="","",VLOOKUP(H$12,Data!$S$32:$X$37,5,FALSE))</f>
        <v/>
      </c>
      <c r="E50" s="164" t="s">
        <v>772</v>
      </c>
      <c r="F50" s="164" t="s">
        <v>773</v>
      </c>
      <c r="G50" s="164" t="s">
        <v>774</v>
      </c>
      <c r="H50" s="38" t="e">
        <f>IF(OR(E50&lt;&gt;"",F50&lt;&gt;"",G50&lt;&gt;""),AVERAGE(E50:G50),"")</f>
        <v>#DIV/0!</v>
      </c>
      <c r="I50" t="s">
        <v>835</v>
      </c>
      <c r="J50" s="39">
        <f>IF(C50="","",100)</f>
        <v>100</v>
      </c>
      <c r="K50" s="39" t="e">
        <f>IF(I50&lt;&gt;"",I50-J50,"")</f>
        <v>#VALUE!</v>
      </c>
      <c r="L50" s="39">
        <f>IF(C50="","",2)</f>
        <v>2</v>
      </c>
      <c r="M50" s="36" t="e">
        <f>IF(K50="","",IF(ABS(K50)&lt;=L50/2,"PASS",IF(ABS(K50)&lt;=L50,"MARGINAL","FAIL")))</f>
        <v>#VALUE!</v>
      </c>
      <c r="N50" s="231"/>
      <c r="O50" s="4"/>
    </row>
    <row r="51" spans="2:16" x14ac:dyDescent="0.2">
      <c r="B51" s="227"/>
      <c r="C51" s="7"/>
      <c r="D51" s="7"/>
      <c r="E51" s="288"/>
      <c r="F51" s="288"/>
      <c r="G51" s="288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288"/>
      <c r="F52" s="292" t="s">
        <v>322</v>
      </c>
      <c r="G52" s="288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170" t="s">
        <v>53</v>
      </c>
      <c r="F53" s="170" t="s">
        <v>57</v>
      </c>
      <c r="G53" s="170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 t="e">
        <f>IF(H47="","",H47)</f>
        <v>#DIV/0!</v>
      </c>
      <c r="E55" s="145" t="s">
        <v>775</v>
      </c>
      <c r="F55" s="145" t="s">
        <v>776</v>
      </c>
      <c r="G55" s="44" t="e">
        <f>IF(AND(E55="",F55=""),"",AVERAGE(E55:F55))</f>
        <v>#DIV/0!</v>
      </c>
      <c r="H55" s="44" t="s">
        <v>840</v>
      </c>
      <c r="I55" s="32">
        <f>Data!B52</f>
        <v>0.65500000000000003</v>
      </c>
      <c r="J55" s="35" t="e">
        <f>IF(H55="","",100*(H55-I55)/I55)</f>
        <v>#VALUE!</v>
      </c>
      <c r="K55" s="35">
        <v>2</v>
      </c>
      <c r="L55" s="36" t="e">
        <f>IF(J55="","",IF(ABS(J55)&lt;=K55/2,"PASS",IF(ABS(J55)&lt;=K55,"MARGINAL","FAIL")))</f>
        <v>#VALUE!</v>
      </c>
      <c r="M55" s="41"/>
      <c r="N55" s="232"/>
      <c r="O55" s="4"/>
    </row>
    <row r="56" spans="2:16" x14ac:dyDescent="0.2">
      <c r="B56" s="227"/>
      <c r="C56" s="45">
        <v>10</v>
      </c>
      <c r="D56" s="38" t="e">
        <f>IF(H48="","",H48)</f>
        <v>#DIV/0!</v>
      </c>
      <c r="E56" s="293" t="s">
        <v>777</v>
      </c>
      <c r="F56" s="293" t="s">
        <v>778</v>
      </c>
      <c r="G56" s="38" t="e">
        <f>IF(AND(E56="",F56=""),"",AVERAGE(E56:F56))</f>
        <v>#DIV/0!</v>
      </c>
      <c r="H56" s="44" t="s">
        <v>841</v>
      </c>
      <c r="I56" s="32">
        <f>Data!B53</f>
        <v>0.69599999999999995</v>
      </c>
      <c r="J56" s="35" t="e">
        <f>IF(H56="","",100*(H56-I56)/I56)</f>
        <v>#VALUE!</v>
      </c>
      <c r="K56" s="39">
        <v>2</v>
      </c>
      <c r="L56" s="36" t="e">
        <f>IF(J56="","",IF(ABS(J56)&lt;=K56/2,"PASS",IF(ABS(J56)&lt;=K56,"MARGINAL","FAIL")))</f>
        <v>#VALUE!</v>
      </c>
      <c r="M56" s="41"/>
      <c r="N56" s="232"/>
      <c r="O56" s="4"/>
    </row>
    <row r="57" spans="2:16" x14ac:dyDescent="0.2">
      <c r="B57" s="227"/>
      <c r="C57" s="45">
        <v>15</v>
      </c>
      <c r="D57" s="38" t="e">
        <f>IF(H50="","",H50)</f>
        <v>#DIV/0!</v>
      </c>
      <c r="E57" s="293" t="s">
        <v>779</v>
      </c>
      <c r="F57" s="293" t="s">
        <v>780</v>
      </c>
      <c r="G57" s="38" t="e">
        <f>IF(AND(E57="",F57=""),"",AVERAGE(E57:F57))</f>
        <v>#DIV/0!</v>
      </c>
      <c r="H57" s="44" t="s">
        <v>842</v>
      </c>
      <c r="I57" s="32">
        <f>Data!B54</f>
        <v>0.71199999999999997</v>
      </c>
      <c r="J57" s="35" t="e">
        <f>IF(H57="","",100*(H57-I57)/I57)</f>
        <v>#VALUE!</v>
      </c>
      <c r="K57" s="39">
        <v>2</v>
      </c>
      <c r="L57" s="36" t="e">
        <f>IF(J57="","",IF(ABS(J57)&lt;=K57/2,"PASS",IF(ABS(J57)&lt;=K57,"MARGINAL","FAIL")))</f>
        <v>#VALUE!</v>
      </c>
      <c r="M57" s="41"/>
      <c r="N57" s="232"/>
      <c r="O57" s="4"/>
    </row>
    <row r="58" spans="2:16" x14ac:dyDescent="0.2">
      <c r="B58" s="227"/>
      <c r="C58" s="7"/>
      <c r="D58" s="7"/>
      <c r="E58" s="288"/>
      <c r="F58" s="288"/>
      <c r="G58" s="288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288"/>
      <c r="F59" s="292" t="str">
        <f>IF(H12="VIOAK_TB6","2dMLC_HD_OP.dcm","2dMLC_OP.dcm")</f>
        <v>2dMLC_OP.dcm</v>
      </c>
      <c r="G59" s="288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170" t="s">
        <v>55</v>
      </c>
      <c r="F60" s="47" t="s">
        <v>145</v>
      </c>
      <c r="G60" s="47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45" t="s">
        <v>781</v>
      </c>
      <c r="G62" s="145" t="s">
        <v>782</v>
      </c>
      <c r="H62" s="44" t="e">
        <f>IF(AND(F62="",G62=""),"",AVERAGE(F62:G62))</f>
        <v>#DIV/0!</v>
      </c>
      <c r="I62" s="56" t="s">
        <v>861</v>
      </c>
      <c r="J62" s="56">
        <f>IF($H$12="VIOAK_TB6",Data!L52,Data!K52)</f>
        <v>7.46E-2</v>
      </c>
      <c r="K62" s="35" t="e">
        <f>IF(I62="","",100*(I62-J62)/J62)</f>
        <v>#VALUE!</v>
      </c>
      <c r="L62" s="35">
        <v>2</v>
      </c>
      <c r="M62" s="36" t="e">
        <f>IF(K62="","",IF(ABS(K62)&lt;=L62/2,"PASS",IF(ABS(K62)&lt;=L62,"MARGINAL","FAIL")))</f>
        <v>#VALUE!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 t="e">
        <f>IF($H$47="","",$H$47)</f>
        <v>#DIV/0!</v>
      </c>
      <c r="F63" s="294" t="s">
        <v>783</v>
      </c>
      <c r="G63" s="294" t="s">
        <v>784</v>
      </c>
      <c r="H63" s="44" t="e">
        <f>IF(AND(F63="",G63=""),"",AVERAGE(F63:G63))</f>
        <v>#DIV/0!</v>
      </c>
      <c r="I63" s="56" t="s">
        <v>862</v>
      </c>
      <c r="J63" s="56">
        <f>IF($H$12="VIOAK_TB6",Data!L52,Data!K52)</f>
        <v>7.46E-2</v>
      </c>
      <c r="K63" s="35" t="e">
        <f>IF(I63="","",100*(I63-J63)/J63)</f>
        <v>#VALUE!</v>
      </c>
      <c r="L63" s="39">
        <v>3</v>
      </c>
      <c r="M63" s="36" t="e">
        <f>IF(K63="","",IF(ABS(K63)&lt;=L63/2,"PASS",IF(ABS(K63)&lt;=L63,"MARGINAL","FAIL")))</f>
        <v>#VALUE!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293" t="s">
        <v>785</v>
      </c>
      <c r="G64" s="293" t="s">
        <v>786</v>
      </c>
      <c r="H64" s="34" t="e">
        <f>IF(AND(F64="",G64=""),"",AVERAGE(F64:G64))</f>
        <v>#DIV/0!</v>
      </c>
      <c r="I64" s="44" t="s">
        <v>863</v>
      </c>
      <c r="J64" s="56">
        <f>IF($H$12="VIOAK_TB6",Data!L53,Data!K53)</f>
        <v>0.93</v>
      </c>
      <c r="K64" s="35" t="e">
        <f>IF(I64="","",100*(I64-J64)/J64)</f>
        <v>#VALUE!</v>
      </c>
      <c r="L64" s="39">
        <v>2</v>
      </c>
      <c r="M64" s="36" t="e">
        <f>IF(K64="","",IF(ABS(K64)&lt;=L64/2,"PASS",IF(ABS(K64)&lt;=L64,"MARGINAL","FAIL")))</f>
        <v>#VALUE!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294" t="s">
        <v>787</v>
      </c>
      <c r="G65" s="294" t="s">
        <v>788</v>
      </c>
      <c r="H65" s="44" t="e">
        <f>IF(AND(F65="",G65=""),"",AVERAGE(F65:G65))</f>
        <v>#DIV/0!</v>
      </c>
      <c r="I65" s="44" t="s">
        <v>864</v>
      </c>
      <c r="J65" s="56">
        <f>IF($H$12="VIOAK_TB6",Data!L54,Data!K54)</f>
        <v>0.626</v>
      </c>
      <c r="K65" s="35" t="e">
        <f>IF(I65="","",100*(I65-J65)/J65)</f>
        <v>#VALUE!</v>
      </c>
      <c r="L65" s="39">
        <v>2</v>
      </c>
      <c r="M65" s="36" t="e">
        <f>IF(K65="","",IF(ABS(K65)&lt;=L65/2,"PASS",IF(ABS(K65)&lt;=L65,"MARGINAL","FAIL")))</f>
        <v>#VALUE!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294" t="s">
        <v>892</v>
      </c>
      <c r="G66" s="294" t="s">
        <v>893</v>
      </c>
      <c r="H66" s="44" t="e">
        <f>IF(AND(F66="",G66=""),"",AVERAGE(F66:G66))</f>
        <v>#DIV/0!</v>
      </c>
      <c r="I66" s="44" t="s">
        <v>896</v>
      </c>
      <c r="J66" s="56">
        <f>IF($H$12="VIOAK_TB6",Data!L55,Data!K55)</f>
        <v>0.23400000000000001</v>
      </c>
      <c r="K66" s="35" t="e">
        <f>IF(I66="","",100*(I66-J66)/J66)</f>
        <v>#VALUE!</v>
      </c>
      <c r="L66" s="39">
        <v>2</v>
      </c>
      <c r="M66" s="36" t="e">
        <f>IF(K66="","",IF(ABS(K66)&lt;=L66/2,"PASS",IF(ABS(K66)&lt;=L66,"MARGINAL","FAIL")))</f>
        <v>#VALUE!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295"/>
      <c r="F67" s="296"/>
      <c r="G67" s="296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288"/>
      <c r="F68" s="288"/>
      <c r="G68" s="288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288"/>
      <c r="F69" s="292" t="str">
        <f>IF(H12="VIOAK_TB6","3VMAT_HD.dcm","3VMAT_H&amp;N.dcm")</f>
        <v>3VMAT_H&amp;N.dcm</v>
      </c>
      <c r="G69" s="288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170" t="s">
        <v>55</v>
      </c>
      <c r="F70" s="47" t="s">
        <v>145</v>
      </c>
      <c r="G70" s="47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164" t="s">
        <v>543</v>
      </c>
      <c r="G72" s="164" t="s">
        <v>544</v>
      </c>
      <c r="H72" s="34" t="e">
        <f>IF(AND(F72="",G72=""),"",AVERAGE(F72:G72))</f>
        <v>#DIV/0!</v>
      </c>
      <c r="I72" s="44" t="s">
        <v>900</v>
      </c>
      <c r="J72" s="56">
        <f>IF($H$12="VIOAK_TB6",Data!L56,Data!K56)</f>
        <v>1.498</v>
      </c>
      <c r="K72" s="35" t="e">
        <f>IF(I72="","",100*(I72-J72)/J72)</f>
        <v>#VALUE!</v>
      </c>
      <c r="L72" s="35">
        <v>3</v>
      </c>
      <c r="M72" s="36" t="e">
        <f>IF(K72="","",IF(ABS(K72)&lt;=L72/2,"PASS",IF(ABS(K72)&lt;=L72,"MARGINAL","FAIL")))</f>
        <v>#VALUE!</v>
      </c>
      <c r="N72" s="231"/>
      <c r="O72" s="4"/>
    </row>
    <row r="73" spans="2:16" x14ac:dyDescent="0.2">
      <c r="B73" s="227"/>
      <c r="C73" s="41"/>
      <c r="D73" s="83"/>
      <c r="E73" s="295"/>
      <c r="F73" s="296"/>
      <c r="G73" s="296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288"/>
      <c r="F74" s="292" t="str">
        <f>IF(H12="VIOAK_TB6","4dMLC_HDErr.dcm","4dMLC_Error.dcm")</f>
        <v>4dMLC_Error.dcm</v>
      </c>
      <c r="G74" s="288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47" t="s">
        <v>153</v>
      </c>
      <c r="F75" s="48"/>
      <c r="G75" s="297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298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164" t="s">
        <v>545</v>
      </c>
      <c r="F77" s="298"/>
      <c r="G77" s="299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295"/>
      <c r="F78" s="296"/>
      <c r="G78" s="296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299"/>
      <c r="F79" s="299"/>
      <c r="G79" s="299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288"/>
      <c r="F80" s="288"/>
      <c r="G80" s="288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288"/>
      <c r="F81" s="288"/>
      <c r="G81" s="288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288"/>
      <c r="F82" s="292" t="s">
        <v>329</v>
      </c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170" t="s">
        <v>61</v>
      </c>
      <c r="G83" s="170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164" t="s">
        <v>789</v>
      </c>
      <c r="G85" s="164" t="s">
        <v>790</v>
      </c>
      <c r="H85" s="34" t="e">
        <f>IF(AND(F85="",G85=""),"",AVERAGE(F85:G85))</f>
        <v>#DIV/0!</v>
      </c>
      <c r="I85" s="44" t="s">
        <v>908</v>
      </c>
      <c r="J85" s="44">
        <f>Data!H52</f>
        <v>0.78400000000000003</v>
      </c>
      <c r="K85" s="35" t="e">
        <f>IF(I85="","",100*(I85-J85)/J85)</f>
        <v>#VALUE!</v>
      </c>
      <c r="L85" s="35">
        <v>2</v>
      </c>
      <c r="M85" s="36" t="e">
        <f>IF(K85="","",IF(ABS(K85)&lt;=L85/2,"PASS",IF(ABS(K85)&lt;=L85,"MARGINAL","FAIL")))</f>
        <v>#VALUE!</v>
      </c>
      <c r="N85" s="231"/>
      <c r="O85" s="4"/>
      <c r="T85" s="169"/>
    </row>
    <row r="86" spans="2:20" ht="15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293" t="s">
        <v>791</v>
      </c>
      <c r="G86" s="293" t="s">
        <v>792</v>
      </c>
      <c r="H86" s="38" t="e">
        <f>IF(AND(F86="",G86=""),"",AVERAGE(F86:G86))</f>
        <v>#DIV/0!</v>
      </c>
      <c r="I86" s="44" t="s">
        <v>909</v>
      </c>
      <c r="J86" s="44">
        <f>Data!H53</f>
        <v>0.84099999999999997</v>
      </c>
      <c r="K86" s="35" t="e">
        <f>IF(I86="","",100*(I86-J86)/J86)</f>
        <v>#VALUE!</v>
      </c>
      <c r="L86" s="39">
        <v>2</v>
      </c>
      <c r="M86" s="36" t="e">
        <f>IF(K86="","",IF(ABS(K86)&lt;=L86/2,"PASS",IF(ABS(K86)&lt;=L86,"MARGINAL","FAIL")))</f>
        <v>#VALUE!</v>
      </c>
      <c r="N86" s="231"/>
      <c r="O86" s="4"/>
      <c r="T86" s="169"/>
    </row>
    <row r="87" spans="2:20" ht="15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293" t="s">
        <v>793</v>
      </c>
      <c r="G87" s="293" t="s">
        <v>794</v>
      </c>
      <c r="H87" s="38" t="e">
        <f>IF(AND(F87="",G87=""),"",AVERAGE(F87:G87))</f>
        <v>#DIV/0!</v>
      </c>
      <c r="I87" s="44" t="s">
        <v>910</v>
      </c>
      <c r="J87" s="44">
        <f>Data!H54</f>
        <v>0.80800000000000005</v>
      </c>
      <c r="K87" s="35" t="e">
        <f>IF(I87="","",100*(I87-J87)/J87)</f>
        <v>#VALUE!</v>
      </c>
      <c r="L87" s="39">
        <v>2</v>
      </c>
      <c r="M87" s="36" t="e">
        <f>IF(K87="","",IF(ABS(K87)&lt;=L87/2,"PASS",IF(ABS(K87)&lt;=L87,"MARGINAL","FAIL")))</f>
        <v>#VALUE!</v>
      </c>
      <c r="N87" s="231"/>
      <c r="O87" s="4"/>
      <c r="T87" s="169"/>
    </row>
    <row r="88" spans="2:20" ht="15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293" t="s">
        <v>929</v>
      </c>
      <c r="G88" s="293" t="s">
        <v>930</v>
      </c>
      <c r="H88" s="38" t="e">
        <f>IF(AND(F88="",G88=""),"",AVERAGE(F88:G88))</f>
        <v>#DIV/0!</v>
      </c>
      <c r="I88" s="44" t="s">
        <v>928</v>
      </c>
      <c r="J88" s="44">
        <f>Data!H55</f>
        <v>0.879</v>
      </c>
      <c r="K88" s="35" t="e">
        <f>IF(I88="","",100*(I88-J88)/J88)</f>
        <v>#VALUE!</v>
      </c>
      <c r="L88" s="39">
        <v>2</v>
      </c>
      <c r="M88" s="36" t="e">
        <f>IF(K88="","",IF(ABS(K88)&lt;=L88/2,"PASS",IF(ABS(K88)&lt;=L88,"MARGINAL","FAIL")))</f>
        <v>#VALUE!</v>
      </c>
      <c r="N88" s="231"/>
      <c r="O88" s="4"/>
    </row>
    <row r="89" spans="2:20" x14ac:dyDescent="0.2">
      <c r="B89" s="227"/>
      <c r="C89" s="7"/>
      <c r="D89" s="7"/>
      <c r="E89" s="288"/>
      <c r="F89" s="288"/>
      <c r="G89" s="288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288"/>
      <c r="F90" s="292" t="s">
        <v>330</v>
      </c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300"/>
      <c r="F91" s="300"/>
      <c r="G91" s="300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300"/>
      <c r="F92" s="300"/>
      <c r="G92" s="300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300"/>
      <c r="F93" s="300"/>
      <c r="G93" s="300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300"/>
      <c r="F94" s="300"/>
      <c r="G94" s="300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300"/>
      <c r="F95" s="300"/>
      <c r="G95" s="300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52" t="s">
        <v>215</v>
      </c>
      <c r="F98" s="152" t="s">
        <v>450</v>
      </c>
      <c r="G98" s="145" t="s">
        <v>946</v>
      </c>
      <c r="H98" s="23" t="s">
        <v>944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52" t="s">
        <v>215</v>
      </c>
      <c r="F99" s="152" t="s">
        <v>451</v>
      </c>
      <c r="G99" s="145" t="s">
        <v>947</v>
      </c>
      <c r="H99" s="23" t="s">
        <v>945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52" t="s">
        <v>214</v>
      </c>
      <c r="F100" s="152" t="s">
        <v>452</v>
      </c>
      <c r="G100" s="145" t="s">
        <v>795</v>
      </c>
      <c r="H100" s="23" t="s">
        <v>934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52" t="s">
        <v>214</v>
      </c>
      <c r="F101" s="152" t="s">
        <v>453</v>
      </c>
      <c r="G101" s="145" t="s">
        <v>796</v>
      </c>
      <c r="H101" s="23" t="s">
        <v>935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3"/>
      <c r="L103" s="323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112" t="s">
        <v>546</v>
      </c>
      <c r="E105" s="288"/>
      <c r="F105" s="286" t="s">
        <v>537</v>
      </c>
      <c r="G105" s="112" t="s">
        <v>547</v>
      </c>
      <c r="H105" s="1"/>
      <c r="I105" s="22" t="s">
        <v>262</v>
      </c>
      <c r="J105" s="287" t="s">
        <v>548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288"/>
      <c r="E106" s="288"/>
      <c r="F106" s="288"/>
      <c r="G106" s="288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133" t="s">
        <v>549</v>
      </c>
      <c r="E107" s="301"/>
      <c r="F107" s="289" t="s">
        <v>28</v>
      </c>
      <c r="G107" s="290" t="s">
        <v>550</v>
      </c>
      <c r="H107" s="7"/>
      <c r="I107" s="185" t="s">
        <v>479</v>
      </c>
      <c r="J107" s="291" t="s">
        <v>551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455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45" t="s">
        <v>797</v>
      </c>
      <c r="F116" s="145" t="s">
        <v>798</v>
      </c>
      <c r="G116" s="145" t="s">
        <v>799</v>
      </c>
      <c r="H116" s="44" t="e">
        <f>IF(OR(E116&lt;&gt;"",F116&lt;&gt;"",G116&lt;&gt;""),AVERAGE(E116:G116),"")</f>
        <v>#DIV/0!</v>
      </c>
      <c r="I116" s="35" t="s">
        <v>952</v>
      </c>
      <c r="J116" s="35">
        <f>IF(C116="","",100)</f>
        <v>100</v>
      </c>
      <c r="K116" s="35" t="e">
        <f>IF(I116&lt;&gt;"",I116-J116,"")</f>
        <v>#VALUE!</v>
      </c>
      <c r="L116" s="35">
        <f>IF(C116="","",2)</f>
        <v>2</v>
      </c>
      <c r="M116" s="36" t="e">
        <f>IF(K116="","",IF(ABS(K116)&lt;=L116/2,"PASS",IF(ABS(K116)&lt;=L116,"MARGINAL","FAIL")))</f>
        <v>#VALUE!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294" t="s">
        <v>800</v>
      </c>
      <c r="F117" s="294" t="s">
        <v>801</v>
      </c>
      <c r="G117" s="294" t="s">
        <v>802</v>
      </c>
      <c r="H117" s="44" t="e">
        <f>IF(OR(E117&lt;&gt;"",F117&lt;&gt;"",G117&lt;&gt;""),AVERAGE(E117:G117),"")</f>
        <v>#DIV/0!</v>
      </c>
      <c r="I117" s="35" t="s">
        <v>953</v>
      </c>
      <c r="J117" s="39">
        <f>IF(C117="","",100)</f>
        <v>100</v>
      </c>
      <c r="K117" s="39" t="e">
        <f>IF(I117&lt;&gt;"",I117-J117,"")</f>
        <v>#VALUE!</v>
      </c>
      <c r="L117" s="39">
        <f>IF(C117="","",2)</f>
        <v>2</v>
      </c>
      <c r="M117" s="36" t="e">
        <f>IF(K117="","",IF(ABS(K117)&lt;=L117/2,"PASS",IF(ABS(K117)&lt;=L117,"MARGINAL","FAIL")))</f>
        <v>#VALUE!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45" t="s">
        <v>803</v>
      </c>
      <c r="F118" s="145" t="s">
        <v>804</v>
      </c>
      <c r="G118" s="145" t="s">
        <v>805</v>
      </c>
      <c r="H118" s="44" t="e">
        <f>IF(OR(E118&lt;&gt;"",F118&lt;&gt;"",G118&lt;&gt;""),AVERAGE(E118:G118),"")</f>
        <v>#DIV/0!</v>
      </c>
      <c r="I118" s="35" t="s">
        <v>954</v>
      </c>
      <c r="J118" s="35">
        <f>IF(C118="","",100)</f>
        <v>100</v>
      </c>
      <c r="K118" s="35" t="e">
        <f>IF(I118&lt;&gt;"",I118-J118,"")</f>
        <v>#VALUE!</v>
      </c>
      <c r="L118" s="35">
        <f>IF(C118="","",2)</f>
        <v>2</v>
      </c>
      <c r="M118" s="36" t="e">
        <f>IF(K118="","",IF(ABS(K118)&lt;=L118/2,"PASS",IF(ABS(K118)&lt;=L118,"MARGINAL","FAIL")))</f>
        <v>#VALUE!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45" t="s">
        <v>806</v>
      </c>
      <c r="F119" s="145" t="s">
        <v>807</v>
      </c>
      <c r="G119" s="145" t="s">
        <v>808</v>
      </c>
      <c r="H119" s="44" t="e">
        <f>IF(OR(E119&lt;&gt;"",F119&lt;&gt;"",G119&lt;&gt;""),AVERAGE(E119:G119),"")</f>
        <v>#DIV/0!</v>
      </c>
      <c r="I119" s="35" t="s">
        <v>955</v>
      </c>
      <c r="J119" s="35">
        <f>IF(C119="","",100)</f>
        <v>100</v>
      </c>
      <c r="K119" s="35" t="e">
        <f>IF(I119&lt;&gt;"",I119-J119,"")</f>
        <v>#VALUE!</v>
      </c>
      <c r="L119" s="35">
        <f>IF(C119="","",2)</f>
        <v>2</v>
      </c>
      <c r="M119" s="36" t="e">
        <f>IF(K119="","",IF(ABS(K119)&lt;=L119/2,"PASS",IF(ABS(K119)&lt;=L119,"MARGINAL","FAIL")))</f>
        <v>#VALUE!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45" t="s">
        <v>809</v>
      </c>
      <c r="F120" s="145" t="s">
        <v>810</v>
      </c>
      <c r="G120" s="145" t="s">
        <v>811</v>
      </c>
      <c r="H120" s="44" t="e">
        <f>IF(OR(E120&lt;&gt;"",F120&lt;&gt;"",G120&lt;&gt;""),AVERAGE(E120:G120),"")</f>
        <v>#DIV/0!</v>
      </c>
      <c r="I120" s="35" t="s">
        <v>956</v>
      </c>
      <c r="J120" s="35">
        <f>IF(C120="","",100)</f>
        <v>100</v>
      </c>
      <c r="K120" s="35" t="e">
        <f>IF(I120&lt;&gt;"",I120-J120,"")</f>
        <v>#VALUE!</v>
      </c>
      <c r="L120" s="35">
        <f>IF(C120="","",2)</f>
        <v>2</v>
      </c>
      <c r="M120" s="36" t="e">
        <f>IF(K120="","",IF(ABS(K120)&lt;=L120/2,"PASS",IF(ABS(K120)&lt;=L120,"MARGINAL","FAIL")))</f>
        <v>#VALUE!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3"/>
      <c r="L122" s="323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/>
      <c r="F131" s="59"/>
      <c r="G131" s="59"/>
      <c r="H131" s="59"/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/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/>
      <c r="F132" s="59"/>
      <c r="G132" s="59"/>
      <c r="H132" s="59"/>
      <c r="I132" s="35">
        <f t="shared" si="0"/>
        <v>2</v>
      </c>
      <c r="J132" s="36" t="str">
        <f t="shared" si="1"/>
        <v/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/>
      <c r="F133" s="59"/>
      <c r="G133" s="59"/>
      <c r="H133" s="59"/>
      <c r="I133" s="35">
        <f t="shared" si="0"/>
        <v>2</v>
      </c>
      <c r="J133" s="36" t="str">
        <f t="shared" si="1"/>
        <v/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/>
      <c r="F134" s="59"/>
      <c r="G134" s="59"/>
      <c r="H134" s="59"/>
      <c r="I134" s="35">
        <f t="shared" si="0"/>
        <v>2</v>
      </c>
      <c r="J134" s="36" t="str">
        <f t="shared" si="1"/>
        <v/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 t="str">
        <f>IF(OR(E131="",E132=""),"",E132-E131)</f>
        <v/>
      </c>
      <c r="F135" s="110" t="str">
        <f>IF(OR(F131="",F132=""),"",F132-F131)</f>
        <v/>
      </c>
      <c r="G135" s="110" t="str">
        <f>IF(OR(G131="",G132=""),"",G132-G131)</f>
        <v/>
      </c>
      <c r="H135" s="110" t="str">
        <f>IF(OR(H131="",H132=""),"",H132-H131)</f>
        <v/>
      </c>
      <c r="I135" s="35">
        <f t="shared" si="0"/>
        <v>2</v>
      </c>
      <c r="J135" s="36" t="str">
        <f t="shared" si="1"/>
        <v/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 t="str">
        <f>IF(OR(E131="",E133=""),"",E133-E131)</f>
        <v/>
      </c>
      <c r="F136" s="110" t="str">
        <f>IF(OR(F131="",F133=""),"",F133-F131)</f>
        <v/>
      </c>
      <c r="G136" s="110" t="str">
        <f>IF(OR(G131="",G133=""),"",G133-G131)</f>
        <v/>
      </c>
      <c r="H136" s="110" t="str">
        <f>IF(OR(H131="",H133=""),"",H133-H131)</f>
        <v/>
      </c>
      <c r="I136" s="35">
        <f t="shared" si="0"/>
        <v>2</v>
      </c>
      <c r="J136" s="36" t="str">
        <f t="shared" si="1"/>
        <v/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 t="str">
        <f>IF(OR(E131="",E134=""),"",E134-E131)</f>
        <v/>
      </c>
      <c r="F137" s="110" t="str">
        <f>IF(OR(F131="",F134=""),"",F134-F131)</f>
        <v/>
      </c>
      <c r="G137" s="110" t="str">
        <f>IF(OR(G131="",G134=""),"",G134-G131)</f>
        <v/>
      </c>
      <c r="H137" s="110" t="str">
        <f>IF(OR(H131="",H134=""),"",H134-H131)</f>
        <v/>
      </c>
      <c r="I137" s="35">
        <f t="shared" si="0"/>
        <v>2</v>
      </c>
      <c r="J137" s="36" t="str">
        <f t="shared" si="1"/>
        <v/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/>
      <c r="F145" s="59"/>
      <c r="G145" s="59"/>
      <c r="H145" s="59"/>
      <c r="I145" s="35">
        <v>1</v>
      </c>
      <c r="J145" s="36" t="str">
        <f>IF(OR(C145="",E145="",F145="",G145="",H145=""),"",IF(AND(ABS(E145)&lt;=I145,ABS(F145)&lt;=I145,ABS(G145)&lt;=I145,ABS(H145)&lt;=I145),"PASS","FAIL"))</f>
        <v/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/>
      <c r="F146" s="59"/>
      <c r="G146" s="59"/>
      <c r="H146" s="59"/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/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 t="str">
        <f>IF(OR(E145="",E146=""),"",E146-E145)</f>
        <v/>
      </c>
      <c r="F147" s="110" t="str">
        <f>IF(OR(F145="",F146=""),"",F146-F145)</f>
        <v/>
      </c>
      <c r="G147" s="110" t="str">
        <f>IF(OR(G145="",G146=""),"",G146-G145)</f>
        <v/>
      </c>
      <c r="H147" s="110" t="str">
        <f>IF(OR(H145="",H146=""),"",H146-H145)</f>
        <v/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/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/>
      <c r="E161" s="59"/>
      <c r="F161" s="59"/>
      <c r="G161" s="59"/>
      <c r="H161" s="59"/>
      <c r="I161" s="59"/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/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/>
      <c r="E170" s="112"/>
      <c r="F170" s="112"/>
      <c r="G170" s="112"/>
      <c r="H170" s="112"/>
      <c r="I170" s="112"/>
      <c r="J170" s="133"/>
      <c r="K170" s="105" t="str">
        <f t="array" ref="K170">IF(OR(D170:I170=""),"",IF(AND(ABS(D170)&lt;=D171,ABS(E170)&lt;=E171,ABS(F170)&lt;=F171,ABS(G170)&lt;=G171,ABS(H170)&lt;=H171,ABS(I170)&lt;=I171,J170="NO"),"PASS","FAIL"))</f>
        <v/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302"/>
      <c r="G173" s="303"/>
      <c r="H173" s="303"/>
      <c r="I173" s="303"/>
      <c r="J173" s="303"/>
      <c r="K173" s="303"/>
      <c r="L173" s="304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305"/>
      <c r="G174" s="306"/>
      <c r="H174" s="306"/>
      <c r="I174" s="306"/>
      <c r="J174" s="306"/>
      <c r="K174" s="306"/>
      <c r="L174" s="307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/>
      <c r="D186" s="34">
        <v>4</v>
      </c>
      <c r="E186" s="34">
        <v>0.1</v>
      </c>
      <c r="F186" s="67" t="str">
        <f>IF(C186="","",IF(ABS(C186-D186)&lt;=E186,"PASS","FAIL"))</f>
        <v/>
      </c>
      <c r="G186" s="59"/>
      <c r="H186" s="35">
        <v>10</v>
      </c>
      <c r="I186" s="67" t="str">
        <f>IF(G186="","",IF(ABS(G186)&lt;=H186,"PASS","FAIL"))</f>
        <v/>
      </c>
      <c r="J186" s="195"/>
      <c r="K186" s="41"/>
      <c r="L186" s="36" t="str">
        <f>IF(OR(F186="",I186="",J186=""),"",IF(AND(F186="PASS",I186="PASS",J186="PASS"),"PASS","FAIL"))</f>
        <v/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302"/>
      <c r="E188" s="303"/>
      <c r="F188" s="303"/>
      <c r="G188" s="303"/>
      <c r="H188" s="303"/>
      <c r="I188" s="303"/>
      <c r="J188" s="303"/>
      <c r="K188" s="303"/>
      <c r="L188" s="304"/>
      <c r="M188" s="7"/>
      <c r="N188" s="228"/>
    </row>
    <row r="189" spans="2:14" hidden="1" x14ac:dyDescent="0.2">
      <c r="B189" s="227"/>
      <c r="C189" s="7"/>
      <c r="D189" s="305"/>
      <c r="E189" s="306"/>
      <c r="F189" s="306"/>
      <c r="G189" s="306"/>
      <c r="H189" s="306"/>
      <c r="I189" s="306"/>
      <c r="J189" s="306"/>
      <c r="K189" s="306"/>
      <c r="L189" s="307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/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/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28" t="s">
        <v>530</v>
      </c>
      <c r="M213" s="329"/>
      <c r="N213" s="228"/>
    </row>
    <row r="214" spans="2:17" hidden="1" x14ac:dyDescent="0.2">
      <c r="B214" s="227"/>
      <c r="C214" s="32">
        <v>6</v>
      </c>
      <c r="D214" s="145"/>
      <c r="E214" s="44">
        <f>Data!AA52</f>
        <v>0.75</v>
      </c>
      <c r="F214" s="164"/>
      <c r="G214" s="44">
        <f>Data!AB52</f>
        <v>1</v>
      </c>
      <c r="H214" s="112"/>
      <c r="I214" s="35">
        <f>Data!AC52</f>
        <v>750</v>
      </c>
      <c r="J214" s="105" t="str">
        <f>IF(OR(D214="",F214="",H214=""),"",IF(AND(D214&gt;=0.8*E214,F214&gt;=0.8*G214,H214&gt;=0.8*I214),"PASS","FAIL"))</f>
        <v/>
      </c>
      <c r="K214" s="7"/>
      <c r="L214" s="328" t="s">
        <v>529</v>
      </c>
      <c r="M214" s="329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/>
      <c r="F223" s="112"/>
      <c r="G223" s="112"/>
      <c r="H223" s="112"/>
      <c r="I223" s="112"/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/>
      <c r="F224" s="112"/>
      <c r="G224" s="112"/>
      <c r="H224" s="112"/>
      <c r="I224" s="112"/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/>
      <c r="F225" s="112"/>
      <c r="G225" s="112"/>
      <c r="H225" s="112"/>
      <c r="I225" s="112"/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/>
      <c r="F226" s="112"/>
      <c r="G226" s="112"/>
      <c r="H226" s="112"/>
      <c r="I226" s="112"/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/>
      </c>
      <c r="F227" s="131" t="str">
        <f t="array" ref="F227">IF(OR(F223:F226=""),"",IF(AND(F226="Pass",ABS(F225-$J$225)&lt;=$K$225,ABS(F223)&lt;=$K$223,ABS(F224)&lt;=$K$224),"PASS","FAIL"))</f>
        <v/>
      </c>
      <c r="G227" s="131" t="str">
        <f t="array" ref="G227">IF(OR(G223:G226=""),"",IF(AND(G226="Pass",ABS(G225-$J$225)&lt;=$K$225,ABS(G223)&lt;=$K$223,ABS(G224)&lt;=$K$224),"PASS","FAIL"))</f>
        <v/>
      </c>
      <c r="H227" s="131" t="str">
        <f t="array" ref="H227">IF(OR(H223:H226=""),"",IF(AND(H226="Pass",ABS(H225-$J$225)&lt;=$K$225,ABS(H223)&lt;=$K$223,ABS(H224)&lt;=$K$224),"PASS","FAIL"))</f>
        <v/>
      </c>
      <c r="I227" s="131" t="str">
        <f t="array" ref="I227">IF(OR(I223:I226=""),"",IF(AND(I226="Pass",ABS(I225-$J$225)&lt;=$K$225,ABS(I223)&lt;=$K$223,ABS(I224)&lt;=$K$224),"PASS","FAIL"))</f>
        <v/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/>
      <c r="F230" s="175">
        <v>4.5</v>
      </c>
      <c r="G230" s="174" t="str">
        <f>IF(E230="","",IF(ABS(E230)&lt;=F230,"PASS","FAIL"))</f>
        <v/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/>
      <c r="F231" s="175">
        <v>4.5</v>
      </c>
      <c r="G231" s="174" t="str">
        <f>IF(E231="","",IF(ABS(E231)&lt;=F231,"PASS","FAIL"))</f>
        <v/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/>
      <c r="F232" s="175">
        <v>4.5</v>
      </c>
      <c r="G232" s="174" t="str">
        <f>IF(E232="","",IF(ABS(E232)&lt;=F232,"PASS","FAIL"))</f>
        <v/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/>
      <c r="F235" s="112"/>
      <c r="G235" s="175">
        <v>18</v>
      </c>
      <c r="H235" s="152">
        <v>2</v>
      </c>
      <c r="I235" s="174" t="str">
        <f>IF(OR(E235="",F235=""),"",IF(OR(ABS(E235-G235)&gt;H235,ABS(F235-G235)&gt;H235),"FAIL","PASS"))</f>
        <v/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302"/>
      <c r="E237" s="303"/>
      <c r="F237" s="303"/>
      <c r="G237" s="303"/>
      <c r="H237" s="303"/>
      <c r="I237" s="303"/>
      <c r="J237" s="303"/>
      <c r="K237" s="303"/>
      <c r="L237" s="304"/>
      <c r="M237" s="80"/>
      <c r="N237" s="228"/>
      <c r="O237" s="4"/>
    </row>
    <row r="238" spans="2:15" hidden="1" x14ac:dyDescent="0.2">
      <c r="B238" s="230"/>
      <c r="C238" s="118"/>
      <c r="D238" s="305"/>
      <c r="E238" s="306"/>
      <c r="F238" s="306"/>
      <c r="G238" s="306"/>
      <c r="H238" s="306"/>
      <c r="I238" s="306"/>
      <c r="J238" s="306"/>
      <c r="K238" s="306"/>
      <c r="L238" s="307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3"/>
      <c r="L240" s="323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/>
      <c r="G251" s="84" t="str">
        <f>IF(F251&lt;&gt;"",F251-F252,"")</f>
        <v/>
      </c>
      <c r="H251" s="33"/>
      <c r="I251" s="84" t="str">
        <f>IF(H251&lt;&gt;"",H251-H252,"")</f>
        <v/>
      </c>
      <c r="J251" s="33"/>
      <c r="K251" s="84" t="str">
        <f>IF(J251&lt;&gt;"",J251-J252,"")</f>
        <v/>
      </c>
      <c r="L251" s="84">
        <v>0.2</v>
      </c>
      <c r="M251" s="105" t="str">
        <f>IF(OR(G251="",I251="",K251=""),"",IF(MAX(ABS(G251),ABS(I251),ABS(K251))&lt;=L251,"PASS","FAIL"))</f>
        <v/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/>
      <c r="G255" s="33"/>
      <c r="H255" s="33"/>
      <c r="I255" s="84">
        <v>0.2</v>
      </c>
      <c r="J255" s="105" t="str">
        <f>IF(OR(F255="",G255="",H255=""),"",IF(MAX(ABS(F255),ABS(G255),ABS(H255))&lt;=I255,"PASS","FAIL"))</f>
        <v/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/>
      <c r="G259" s="33"/>
      <c r="H259" s="33"/>
      <c r="I259" s="84">
        <v>0.2</v>
      </c>
      <c r="J259" s="105" t="str">
        <f>IF(OR(F259="",G259="",H259=""),"",IF(MAX(ABS(F259),ABS(G259),ABS(H259))&lt;=I259,"PASS","FAIL"))</f>
        <v/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/>
      <c r="G263" s="33"/>
      <c r="H263" s="33"/>
      <c r="I263" s="84">
        <v>0.2</v>
      </c>
      <c r="J263" s="105" t="str">
        <f>IF(OR(F263="",G263="",H263=""),"",IF(MAX(ABS(F263),ABS(G263),ABS(H263))&lt;=I263,"PASS","FAIL"))</f>
        <v/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/>
      <c r="G267" s="33"/>
      <c r="H267" s="119" t="s">
        <v>166</v>
      </c>
      <c r="I267" s="84">
        <v>0.2</v>
      </c>
      <c r="J267" s="105" t="str">
        <f>IF(OR(F267="",G267=""),"",IF(MAX(ABS(F267),ABS(G267))&lt;=I267,"PASS","FAIL"))</f>
        <v/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/>
      <c r="H271" s="33"/>
      <c r="I271" s="84">
        <v>0.2</v>
      </c>
      <c r="J271" s="105" t="str">
        <f>IF(OR(G271="",H271=""),"",IF(MAX(ABS(G271),ABS(H271))&lt;=I271,"PASS","FAIL"))</f>
        <v/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3"/>
      <c r="L273" s="323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/>
      <c r="F282" s="50">
        <v>1.6</v>
      </c>
      <c r="G282" s="50">
        <v>0.2</v>
      </c>
      <c r="H282" s="105" t="str">
        <f>IF(E282="","",IF(ABS(E282-F282)&lt;=G282,"PASS","FAIL"))</f>
        <v/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/>
      <c r="F283" s="50">
        <v>0.8</v>
      </c>
      <c r="G283" s="50">
        <v>0.2</v>
      </c>
      <c r="H283" s="105" t="str">
        <f>IF(E283="","",IF(ABS(E283-F283)&lt;=G283,"PASS","FAIL"))</f>
        <v/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/>
      <c r="F284" s="50">
        <v>5.0999999999999996</v>
      </c>
      <c r="G284" s="50">
        <v>0.2</v>
      </c>
      <c r="H284" s="105" t="str">
        <f>IF(E284="","",IF(ABS(E284-F284)&lt;=G284,"PASS","FAIL"))</f>
        <v/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/>
      <c r="F285" s="50">
        <v>0.17</v>
      </c>
      <c r="G285" s="50">
        <v>0.02</v>
      </c>
      <c r="H285" s="105" t="str">
        <f>IF(E285="","",IF(ABS(E285-F285)&lt;=G285,"PASS","FAIL"))</f>
        <v/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/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/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8"/>
      <c r="F290" s="341"/>
      <c r="G290" s="341"/>
      <c r="H290" s="341"/>
      <c r="I290" s="341"/>
      <c r="J290" s="341"/>
      <c r="K290" s="341"/>
      <c r="L290" s="341"/>
      <c r="M290" s="342"/>
      <c r="N290" s="247"/>
      <c r="O290" s="4"/>
    </row>
    <row r="291" spans="2:16" hidden="1" x14ac:dyDescent="0.2">
      <c r="B291" s="227"/>
      <c r="C291" s="79"/>
      <c r="D291" s="79"/>
      <c r="E291" s="308"/>
      <c r="F291" s="309"/>
      <c r="G291" s="309"/>
      <c r="H291" s="309"/>
      <c r="I291" s="309"/>
      <c r="J291" s="309"/>
      <c r="K291" s="309"/>
      <c r="L291" s="309"/>
      <c r="M291" s="31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3"/>
      <c r="L293" s="323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/>
      <c r="E305" s="59"/>
      <c r="F305" s="59"/>
      <c r="G305" s="59"/>
      <c r="H305" s="33"/>
      <c r="I305" s="21"/>
      <c r="J305" s="105" t="str">
        <f t="array" ref="J305">IF(OR(D305:I305=""),"",IF(AND(ABS(D305-D306)&lt;=0.2,ABS(E305-E306)&lt;=0.2,ABS(F305-F306)&lt;=0.2,ABS(G305-G306)&lt;=0.2,H305="PASS",I305="No"),"PASS","FAIL"))</f>
        <v/>
      </c>
      <c r="K305" s="107"/>
      <c r="L305" s="328"/>
      <c r="M305" s="329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38"/>
      <c r="G308" s="339"/>
      <c r="H308" s="339"/>
      <c r="I308" s="339"/>
      <c r="J308" s="339"/>
      <c r="K308" s="339"/>
      <c r="L308" s="340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32"/>
      <c r="G309" s="333"/>
      <c r="H309" s="333"/>
      <c r="I309" s="333"/>
      <c r="J309" s="333"/>
      <c r="K309" s="333"/>
      <c r="L309" s="334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/>
      <c r="F319" s="59"/>
      <c r="G319" s="59"/>
      <c r="H319" s="59"/>
      <c r="I319" s="35">
        <v>5</v>
      </c>
      <c r="J319" s="36" t="str">
        <f>IF(OR(C319="",E319="",F319="",G319="",H319=""),"",IF(AND(ABS(E319)&lt;=I319,ABS(F319)&lt;=I319,ABS(G319)&lt;=I319,ABS(H319)&lt;=I319),"PASS","FAIL"))</f>
        <v/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28"/>
      <c r="M323" s="329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28"/>
      <c r="M324" s="329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/>
      <c r="G328" s="165">
        <f>Data!AA53</f>
        <v>1.8</v>
      </c>
      <c r="H328" s="164"/>
      <c r="I328" s="165">
        <f>Data!AB53</f>
        <v>2.6</v>
      </c>
      <c r="J328" s="112"/>
      <c r="K328" s="127">
        <f>Data!AC53</f>
        <v>20</v>
      </c>
      <c r="L328" s="132" t="str">
        <f>IF(OR(F328="",H328="",J328=""),"",IF(AND(F328&gt;=0.8*G328,H328&gt;=0.8*I328,J328&gt;=0.8*K328),"PASS","FAIL"))</f>
        <v/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/>
      <c r="G329" s="165">
        <v>1.8</v>
      </c>
      <c r="H329" s="164"/>
      <c r="I329" s="165">
        <v>2.7</v>
      </c>
      <c r="J329" s="112"/>
      <c r="K329" s="127">
        <v>13</v>
      </c>
      <c r="L329" s="132" t="str">
        <f>IF(OR(F329="",H329="",J329=""),"",IF(AND(F329&gt;=0.8*G329,H329&gt;=0.8*I329,J329&gt;=0.8*K329),"PASS","FAIL"))</f>
        <v/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/>
      <c r="E337" s="127">
        <v>75</v>
      </c>
      <c r="F337" s="127">
        <v>5</v>
      </c>
      <c r="G337" s="112"/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/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/>
      <c r="E338" s="127">
        <v>125</v>
      </c>
      <c r="F338" s="127">
        <v>5</v>
      </c>
      <c r="G338" s="112"/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/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3"/>
      <c r="L340" s="323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/>
      <c r="H351" s="130"/>
      <c r="I351" s="335"/>
      <c r="J351" s="336"/>
      <c r="K351" s="336"/>
      <c r="L351" s="336"/>
      <c r="M351" s="337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/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/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/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/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/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/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/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/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/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/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/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/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/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/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/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/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/>
      <c r="F372" s="153"/>
      <c r="G372" s="152" t="str">
        <f>IF(OR(E372="",F372=""),"",F372-E372)</f>
        <v/>
      </c>
      <c r="H372" s="152">
        <v>10</v>
      </c>
      <c r="I372" s="123"/>
      <c r="J372" s="79"/>
      <c r="K372" s="79"/>
      <c r="L372" s="105" t="str">
        <f>IF(G372="","",IF(ABS(G372)&lt;=H372,"PASS","FAIL"))</f>
        <v/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/>
      <c r="F373" s="153"/>
      <c r="G373" s="152" t="str">
        <f>IF(OR(E373="",F373=""),"",F373-E373)</f>
        <v/>
      </c>
      <c r="H373" s="152">
        <v>10</v>
      </c>
      <c r="I373" s="123"/>
      <c r="J373" s="79"/>
      <c r="K373" s="79"/>
      <c r="L373" s="105" t="str">
        <f>IF(G373="","",IF(ABS(G373)&lt;=H373,"PASS","FAIL"))</f>
        <v/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 t="str">
        <f>IF(OR(E361="",E363=""),"",E361-E363)</f>
        <v/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/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 t="str">
        <f>IF(OR(E373="",F373=""),"",AVERAGE(E373:F374))</f>
        <v/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/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 t="str">
        <f>IF(OR(E377="",E378=""),"",E377/E378)</f>
        <v/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/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30" t="s">
        <v>299</v>
      </c>
      <c r="G381" s="331"/>
      <c r="H381" s="331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31"/>
      <c r="G382" s="331"/>
      <c r="H382" s="331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F381:H382"/>
    <mergeCell ref="F308:L308"/>
    <mergeCell ref="F309:L309"/>
    <mergeCell ref="L323:M323"/>
    <mergeCell ref="L324:M324"/>
    <mergeCell ref="K340:L340"/>
    <mergeCell ref="I351:M351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K98:K100 D98:D99 F21 L12:M12 C17:M19 I98:I100 E223:I226 C328:K329 J27:M31">
    <cfRule type="cellIs" dxfId="45" priority="44" stopIfTrue="1" operator="equal">
      <formula>""</formula>
    </cfRule>
  </conditionalFormatting>
  <conditionalFormatting sqref="H12:J12">
    <cfRule type="cellIs" dxfId="44" priority="45" stopIfTrue="1" operator="equal">
      <formula>$Q$6</formula>
    </cfRule>
  </conditionalFormatting>
  <conditionalFormatting sqref="M21">
    <cfRule type="cellIs" dxfId="43" priority="43" stopIfTrue="1" operator="equal">
      <formula>$Q$6</formula>
    </cfRule>
  </conditionalFormatting>
  <conditionalFormatting sqref="F308:F309 F173:L174">
    <cfRule type="cellIs" dxfId="42" priority="42" stopIfTrue="1" operator="equal">
      <formula>$Q$6</formula>
    </cfRule>
  </conditionalFormatting>
  <conditionalFormatting sqref="D237:L238 D188:L189">
    <cfRule type="cellIs" dxfId="41" priority="41" stopIfTrue="1" operator="equal">
      <formula>$Q$6</formula>
    </cfRule>
  </conditionalFormatting>
  <conditionalFormatting sqref="E227:I227 J305:K305 N305">
    <cfRule type="cellIs" dxfId="40" priority="40" stopIfTrue="1" operator="equal">
      <formula>$Q$8</formula>
    </cfRule>
  </conditionalFormatting>
  <conditionalFormatting sqref="I351:M351">
    <cfRule type="cellIs" dxfId="39" priority="39" stopIfTrue="1" operator="equal">
      <formula>$Q$6</formula>
    </cfRule>
  </conditionalFormatting>
  <conditionalFormatting sqref="J214">
    <cfRule type="cellIs" dxfId="38" priority="38" stopIfTrue="1" operator="equal">
      <formula>$Q$8</formula>
    </cfRule>
  </conditionalFormatting>
  <conditionalFormatting sqref="G351 L355:L365 L368:L380 H282:H285 E287:E288 J319 J337:J338 M251:N251 J255 J259 J263 J267 J271 M47:N50 M62:N66 M72:N72 M85:N88 L98:L100 L55:L57 M116:N120 G230:G235 J305:K305 L328:N329 N305">
    <cfRule type="cellIs" dxfId="37" priority="37" stopIfTrue="1" operator="equal">
      <formula>"FAIL"</formula>
    </cfRule>
  </conditionalFormatting>
  <conditionalFormatting sqref="H27:H31">
    <cfRule type="cellIs" dxfId="36" priority="36" stopIfTrue="1" operator="equal">
      <formula>"NOT REVIEWED"</formula>
    </cfRule>
  </conditionalFormatting>
  <conditionalFormatting sqref="M47:N50 M62:N66 M72:N72 M85:N88 L98:L100 L55:L57 M116:N120">
    <cfRule type="cellIs" dxfId="35" priority="35" stopIfTrue="1" operator="equal">
      <formula>"MARGINAL"</formula>
    </cfRule>
  </conditionalFormatting>
  <conditionalFormatting sqref="K170">
    <cfRule type="cellIs" dxfId="34" priority="34" stopIfTrue="1" operator="equal">
      <formula>"FAIL"</formula>
    </cfRule>
  </conditionalFormatting>
  <conditionalFormatting sqref="J131:J137 J145:J147 L161 L186 F186 I186:J186 D198 D206 J214 E227:I227 G230:G235">
    <cfRule type="cellIs" dxfId="33" priority="33" stopIfTrue="1" operator="equal">
      <formula>"FAIL"</formula>
    </cfRule>
  </conditionalFormatting>
  <conditionalFormatting sqref="E226:I226">
    <cfRule type="cellIs" dxfId="32" priority="32" stopIfTrue="1" operator="equal">
      <formula>"FAIL"</formula>
    </cfRule>
  </conditionalFormatting>
  <conditionalFormatting sqref="K101 I101">
    <cfRule type="cellIs" dxfId="31" priority="31" stopIfTrue="1" operator="equal">
      <formula>""</formula>
    </cfRule>
  </conditionalFormatting>
  <conditionalFormatting sqref="L101">
    <cfRule type="cellIs" dxfId="30" priority="30" stopIfTrue="1" operator="equal">
      <formula>"FAIL"</formula>
    </cfRule>
  </conditionalFormatting>
  <conditionalFormatting sqref="L101">
    <cfRule type="cellIs" dxfId="29" priority="29" stopIfTrue="1" operator="equal">
      <formula>"MARGINAL"</formula>
    </cfRule>
  </conditionalFormatting>
  <conditionalFormatting sqref="L213:M214">
    <cfRule type="cellIs" dxfId="28" priority="28" stopIfTrue="1" operator="equal">
      <formula>$Q$6</formula>
    </cfRule>
  </conditionalFormatting>
  <conditionalFormatting sqref="L323:M324">
    <cfRule type="cellIs" dxfId="27" priority="27" stopIfTrue="1" operator="equal">
      <formula>$Q$6</formula>
    </cfRule>
  </conditionalFormatting>
  <conditionalFormatting sqref="K24:L24">
    <cfRule type="cellIs" dxfId="26" priority="26" stopIfTrue="1" operator="notEqual">
      <formula>""</formula>
    </cfRule>
  </conditionalFormatting>
  <conditionalFormatting sqref="K33:L33">
    <cfRule type="cellIs" dxfId="25" priority="25" stopIfTrue="1" operator="notEqual">
      <formula>""</formula>
    </cfRule>
  </conditionalFormatting>
  <conditionalFormatting sqref="K103:L103">
    <cfRule type="cellIs" dxfId="24" priority="24" stopIfTrue="1" operator="notEqual">
      <formula>""</formula>
    </cfRule>
  </conditionalFormatting>
  <conditionalFormatting sqref="K122:L122">
    <cfRule type="cellIs" dxfId="23" priority="23" stopIfTrue="1" operator="notEqual">
      <formula>""</formula>
    </cfRule>
  </conditionalFormatting>
  <conditionalFormatting sqref="K240:L240">
    <cfRule type="cellIs" dxfId="22" priority="22" stopIfTrue="1" operator="notEqual">
      <formula>""</formula>
    </cfRule>
  </conditionalFormatting>
  <conditionalFormatting sqref="K273:L273">
    <cfRule type="cellIs" dxfId="21" priority="21" stopIfTrue="1" operator="notEqual">
      <formula>""</formula>
    </cfRule>
  </conditionalFormatting>
  <conditionalFormatting sqref="K293:L293">
    <cfRule type="cellIs" dxfId="20" priority="20" stopIfTrue="1" operator="notEqual">
      <formula>""</formula>
    </cfRule>
  </conditionalFormatting>
  <conditionalFormatting sqref="K340:L340">
    <cfRule type="cellIs" dxfId="19" priority="19" stopIfTrue="1" operator="notEqual">
      <formula>""</formula>
    </cfRule>
  </conditionalFormatting>
  <conditionalFormatting sqref="F15 M15 H27:H31">
    <cfRule type="cellIs" dxfId="18" priority="18" stopIfTrue="1" operator="equal">
      <formula>""</formula>
    </cfRule>
  </conditionalFormatting>
  <conditionalFormatting sqref="G351 D206 J186 D198">
    <cfRule type="cellIs" dxfId="17" priority="46" stopIfTrue="1" operator="equal">
      <formula>$Q$6</formula>
    </cfRule>
    <cfRule type="cellIs" dxfId="16" priority="47" stopIfTrue="1" operator="equal">
      <formula>$Q$8</formula>
    </cfRule>
  </conditionalFormatting>
  <conditionalFormatting sqref="E235:F235">
    <cfRule type="cellIs" dxfId="15" priority="16" stopIfTrue="1" operator="equal">
      <formula>""</formula>
    </cfRule>
  </conditionalFormatting>
  <conditionalFormatting sqref="I235">
    <cfRule type="cellIs" dxfId="14" priority="15" stopIfTrue="1" operator="equal">
      <formula>"FAIL"</formula>
    </cfRule>
  </conditionalFormatting>
  <conditionalFormatting sqref="I235">
    <cfRule type="cellIs" dxfId="13" priority="14" stopIfTrue="1" operator="equal">
      <formula>"FAIL"</formula>
    </cfRule>
  </conditionalFormatting>
  <conditionalFormatting sqref="L305:M305">
    <cfRule type="cellIs" dxfId="12" priority="13" stopIfTrue="1" operator="equal">
      <formula>$Q$6</formula>
    </cfRule>
  </conditionalFormatting>
  <conditionalFormatting sqref="J15">
    <cfRule type="cellIs" dxfId="11" priority="11" stopIfTrue="1" operator="equal">
      <formula>$Q$8</formula>
    </cfRule>
    <cfRule type="cellIs" dxfId="10" priority="12" stopIfTrue="1" operator="equal">
      <formula>$Q$6</formula>
    </cfRule>
  </conditionalFormatting>
  <conditionalFormatting sqref="J15">
    <cfRule type="cellIs" dxfId="9" priority="10" stopIfTrue="1" operator="equal">
      <formula>""</formula>
    </cfRule>
  </conditionalFormatting>
  <conditionalFormatting sqref="F15:G15">
    <cfRule type="cellIs" dxfId="8" priority="8" stopIfTrue="1" operator="equal">
      <formula>"CONDITIONAL PASS"</formula>
    </cfRule>
    <cfRule type="cellIs" dxfId="7" priority="9" stopIfTrue="1" operator="equal">
      <formula>"FAIL"</formula>
    </cfRule>
  </conditionalFormatting>
  <conditionalFormatting sqref="D35 D37 G35 G37">
    <cfRule type="cellIs" dxfId="6" priority="7" stopIfTrue="1" operator="equal">
      <formula>""</formula>
    </cfRule>
  </conditionalFormatting>
  <conditionalFormatting sqref="E47:G50 E55:F57 E77 E98:E100 F62:G66 F72:G72 F85:G88 G98:G100">
    <cfRule type="cellIs" dxfId="5" priority="6" stopIfTrue="1" operator="equal">
      <formula>""</formula>
    </cfRule>
  </conditionalFormatting>
  <conditionalFormatting sqref="E77">
    <cfRule type="cellIs" dxfId="4" priority="5" stopIfTrue="1" operator="equal">
      <formula>"FAIL"</formula>
    </cfRule>
  </conditionalFormatting>
  <conditionalFormatting sqref="E101 G101">
    <cfRule type="cellIs" dxfId="3" priority="4" stopIfTrue="1" operator="equal">
      <formula>""</formula>
    </cfRule>
  </conditionalFormatting>
  <conditionalFormatting sqref="G98:G100">
    <cfRule type="cellIs" dxfId="2" priority="3" stopIfTrue="1" operator="equal">
      <formula>""</formula>
    </cfRule>
  </conditionalFormatting>
  <conditionalFormatting sqref="D105 D107 G105 G107">
    <cfRule type="cellIs" dxfId="1" priority="2" stopIfTrue="1" operator="equal">
      <formula>""</formula>
    </cfRule>
  </conditionalFormatting>
  <conditionalFormatting sqref="E116:G120">
    <cfRule type="cellIs" dxfId="0" priority="1" stopIfTrue="1" operator="equal">
      <formula>""</formula>
    </cfRule>
  </conditionalFormatting>
  <dataValidations count="12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287:E288 G351 D198 D206 E226:I226 J186">
      <formula1>List_Status3</formula1>
    </dataValidation>
    <dataValidation showInputMessage="1" showErrorMessage="1" sqref="D37 G37 D107 G107"/>
    <dataValidation type="list" showInputMessage="1" showErrorMessage="1" sqref="E77">
      <formula1>List_Status3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1516" r:id="rId4" name="lbl_CBCT">
          <controlPr defaultSize="0" autoFill="0" autoLine="0" r:id="rId5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1516" r:id="rId4" name="lbl_CBCT"/>
      </mc:Fallback>
    </mc:AlternateContent>
    <mc:AlternateContent xmlns:mc="http://schemas.openxmlformats.org/markup-compatibility/2006">
      <mc:Choice Requires="x14">
        <control shapeId="21515" r:id="rId6" name="lbl_KV_Planar">
          <controlPr defaultSize="0" autoFill="0" autoLine="0" r:id="rId5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1515" r:id="rId6" name="lbl_KV_Planar"/>
      </mc:Fallback>
    </mc:AlternateContent>
    <mc:AlternateContent xmlns:mc="http://schemas.openxmlformats.org/markup-compatibility/2006">
      <mc:Choice Requires="x14">
        <control shapeId="21514" r:id="rId7" name="lbl_Motion_Management">
          <controlPr defaultSize="0" autoFill="0" autoLine="0" r:id="rId5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1514" r:id="rId7" name="lbl_Motion_Management"/>
      </mc:Fallback>
    </mc:AlternateContent>
    <mc:AlternateContent xmlns:mc="http://schemas.openxmlformats.org/markup-compatibility/2006">
      <mc:Choice Requires="x14">
        <control shapeId="21513" r:id="rId8" name="lbl_Registration">
          <controlPr defaultSize="0" autoFill="0" autoLine="0" r:id="rId5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1513" r:id="rId8" name="lbl_Registration"/>
      </mc:Fallback>
    </mc:AlternateContent>
    <mc:AlternateContent xmlns:mc="http://schemas.openxmlformats.org/markup-compatibility/2006">
      <mc:Choice Requires="x14">
        <control shapeId="21512" r:id="rId9" name="lbl_MVD_Measurements">
          <controlPr defaultSize="0" autoFill="0" autoLine="0" r:id="rId5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1512" r:id="rId9" name="lbl_MVD_Measurements"/>
      </mc:Fallback>
    </mc:AlternateContent>
    <mc:AlternateContent xmlns:mc="http://schemas.openxmlformats.org/markup-compatibility/2006">
      <mc:Choice Requires="x14">
        <control shapeId="21511" r:id="rId10" name="lbl_Electron_Outputs">
          <controlPr defaultSize="0" autoFill="0" autoLine="0" r:id="rId11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1511" r:id="rId10" name="lbl_Electron_Outputs"/>
      </mc:Fallback>
    </mc:AlternateContent>
    <mc:AlternateContent xmlns:mc="http://schemas.openxmlformats.org/markup-compatibility/2006">
      <mc:Choice Requires="x14">
        <control shapeId="21510" r:id="rId12" name="lbl_Xray_Outputs">
          <controlPr defaultSize="0" autoFill="0" autoLine="0" r:id="rId11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1510" r:id="rId12" name="lbl_Xray_Outputs"/>
      </mc:Fallback>
    </mc:AlternateContent>
    <mc:AlternateContent xmlns:mc="http://schemas.openxmlformats.org/markup-compatibility/2006">
      <mc:Choice Requires="x14">
        <control shapeId="21509" r:id="rId13" name="lbl_Audit">
          <controlPr defaultSize="0" autoFill="0" autoLine="0" r:id="rId5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1509" r:id="rId13" name="lbl_Audit"/>
      </mc:Fallback>
    </mc:AlternateContent>
    <mc:AlternateContent xmlns:mc="http://schemas.openxmlformats.org/markup-compatibility/2006">
      <mc:Choice Requires="x14">
        <control shapeId="21508" r:id="rId14" name="cmdSave">
          <controlPr locked="0" defaultSize="0" autoLine="0" r:id="rId15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1508" r:id="rId14" name="cmdSave"/>
      </mc:Fallback>
    </mc:AlternateContent>
    <mc:AlternateContent xmlns:mc="http://schemas.openxmlformats.org/markup-compatibility/2006">
      <mc:Choice Requires="x14">
        <control shapeId="21507" r:id="rId16" name="cmdOPTrend">
          <controlPr locked="0" defaultSize="0" autoLine="0" r:id="rId17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8</xdr:col>
                <xdr:colOff>1104900</xdr:colOff>
                <xdr:row>7</xdr:row>
                <xdr:rowOff>57150</xdr:rowOff>
              </to>
            </anchor>
          </controlPr>
        </control>
      </mc:Choice>
      <mc:Fallback>
        <control shapeId="21507" r:id="rId16" name="cmdOPTrend"/>
      </mc:Fallback>
    </mc:AlternateContent>
    <mc:AlternateContent xmlns:mc="http://schemas.openxmlformats.org/markup-compatibility/2006">
      <mc:Choice Requires="x14">
        <control shapeId="21506" r:id="rId18" name="cmdPrint">
          <controlPr locked="0" defaultSize="0" autoLine="0" r:id="rId19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1506" r:id="rId18" name="cmdPrint"/>
      </mc:Fallback>
    </mc:AlternateContent>
    <mc:AlternateContent xmlns:mc="http://schemas.openxmlformats.org/markup-compatibility/2006">
      <mc:Choice Requires="x14">
        <control shapeId="21505" r:id="rId20" name="cmdClear">
          <controlPr locked="0" defaultSize="0" autoLine="0" r:id="rId21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1505" r:id="rId20" name="cmd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86"/>
  <sheetViews>
    <sheetView topLeftCell="S25" zoomScale="115" zoomScaleNormal="115" workbookViewId="0">
      <pane xSplit="32505" topLeftCell="Y1"/>
      <selection activeCell="AG34" sqref="AG34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[1]Main!M12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552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553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554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555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556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557</v>
      </c>
      <c r="P32" s="75">
        <v>36861</v>
      </c>
      <c r="R32" s="69"/>
      <c r="S32" s="69" t="s">
        <v>127</v>
      </c>
      <c r="T32" s="76" t="s">
        <v>307</v>
      </c>
      <c r="U32" s="86" t="s">
        <v>558</v>
      </c>
      <c r="V32" s="86" t="s">
        <v>559</v>
      </c>
      <c r="W32" s="129" t="s">
        <v>560</v>
      </c>
      <c r="X32" s="129" t="s">
        <v>561</v>
      </c>
      <c r="AA32" s="69" t="s">
        <v>127</v>
      </c>
      <c r="AB32" s="69" t="s">
        <v>35</v>
      </c>
      <c r="AC32" s="74" t="s">
        <v>562</v>
      </c>
      <c r="AD32" s="74" t="s">
        <v>563</v>
      </c>
      <c r="AE32" s="74" t="s">
        <v>564</v>
      </c>
      <c r="AF32" s="74" t="s">
        <v>565</v>
      </c>
      <c r="AG32" s="74" t="s">
        <v>566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567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568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569</v>
      </c>
      <c r="P33" s="75">
        <v>36861</v>
      </c>
      <c r="S33" s="69" t="s">
        <v>128</v>
      </c>
      <c r="T33" s="76" t="s">
        <v>307</v>
      </c>
      <c r="U33" s="69" t="s">
        <v>570</v>
      </c>
      <c r="V33" s="86" t="s">
        <v>571</v>
      </c>
      <c r="W33" s="129" t="s">
        <v>572</v>
      </c>
      <c r="X33" s="129" t="s">
        <v>573</v>
      </c>
      <c r="AA33" s="69" t="s">
        <v>128</v>
      </c>
      <c r="AB33" s="69" t="s">
        <v>35</v>
      </c>
      <c r="AC33" s="74" t="s">
        <v>574</v>
      </c>
      <c r="AD33" s="74" t="s">
        <v>575</v>
      </c>
      <c r="AE33" s="74" t="s">
        <v>576</v>
      </c>
      <c r="AF33" s="74" t="s">
        <v>577</v>
      </c>
      <c r="AG33" s="74" t="s">
        <v>578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579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580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581</v>
      </c>
      <c r="P34" s="75">
        <v>36861</v>
      </c>
      <c r="S34" s="69" t="s">
        <v>131</v>
      </c>
      <c r="T34" s="76" t="s">
        <v>307</v>
      </c>
      <c r="U34" s="69" t="s">
        <v>582</v>
      </c>
      <c r="V34" s="86" t="s">
        <v>583</v>
      </c>
      <c r="W34" s="129" t="s">
        <v>584</v>
      </c>
      <c r="X34" s="129" t="s">
        <v>585</v>
      </c>
      <c r="AA34" s="69" t="s">
        <v>131</v>
      </c>
      <c r="AB34" s="69" t="s">
        <v>35</v>
      </c>
      <c r="AC34" s="74" t="s">
        <v>987</v>
      </c>
      <c r="AD34" s="74" t="s">
        <v>988</v>
      </c>
      <c r="AE34" s="74" t="s">
        <v>989</v>
      </c>
      <c r="AF34" s="74" t="s">
        <v>990</v>
      </c>
      <c r="AG34" s="74" t="s">
        <v>991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586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587</v>
      </c>
      <c r="P35" s="69" t="s">
        <v>225</v>
      </c>
      <c r="S35" s="69" t="s">
        <v>132</v>
      </c>
      <c r="T35" s="76" t="s">
        <v>307</v>
      </c>
      <c r="U35" s="69" t="s">
        <v>588</v>
      </c>
      <c r="V35" s="69" t="s">
        <v>589</v>
      </c>
      <c r="W35" s="69" t="s">
        <v>590</v>
      </c>
      <c r="X35" s="69" t="s">
        <v>591</v>
      </c>
    </row>
    <row r="36" spans="1:40" x14ac:dyDescent="0.2">
      <c r="A36" s="69" t="s">
        <v>129</v>
      </c>
      <c r="B36" s="69">
        <v>2359</v>
      </c>
      <c r="C36" s="76" t="s">
        <v>592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593</v>
      </c>
      <c r="V36" s="69" t="s">
        <v>594</v>
      </c>
      <c r="W36" s="69" t="s">
        <v>595</v>
      </c>
      <c r="X36" s="69" t="s">
        <v>596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597</v>
      </c>
      <c r="V37" s="69" t="s">
        <v>598</v>
      </c>
      <c r="W37" s="69" t="s">
        <v>599</v>
      </c>
      <c r="X37" s="69" t="s">
        <v>600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50"/>
  <sheetViews>
    <sheetView tabSelected="1" topLeftCell="A134" zoomScale="115" zoomScaleNormal="115" workbookViewId="0">
      <pane xSplit="32505" topLeftCell="Y1"/>
      <selection activeCell="C154" sqref="C154"/>
      <selection pane="topRight" activeCell="Y1" sqref="Y1"/>
    </sheetView>
  </sheetViews>
  <sheetFormatPr defaultRowHeight="12.75" x14ac:dyDescent="0.2"/>
  <cols>
    <col min="1" max="1" width="38" bestFit="1" customWidth="1"/>
    <col min="2" max="2" width="26.7109375" bestFit="1" customWidth="1"/>
    <col min="3" max="3" width="38" bestFit="1" customWidth="1"/>
    <col min="4" max="4" width="7" bestFit="1" customWidth="1"/>
    <col min="5" max="5" width="5.5703125" bestFit="1" customWidth="1"/>
    <col min="6" max="6" width="9.85546875" bestFit="1" customWidth="1"/>
    <col min="7" max="7" width="60.7109375" bestFit="1" customWidth="1"/>
    <col min="8" max="8" width="9.42578125" bestFit="1" customWidth="1"/>
    <col min="9" max="35" width="10.7109375" customWidth="1"/>
  </cols>
  <sheetData>
    <row r="1" spans="1:8" x14ac:dyDescent="0.2">
      <c r="A1" s="111" t="s">
        <v>601</v>
      </c>
      <c r="B1" s="111" t="s">
        <v>602</v>
      </c>
      <c r="C1" s="111" t="s">
        <v>603</v>
      </c>
      <c r="D1" s="111" t="s">
        <v>604</v>
      </c>
      <c r="E1" s="111" t="s">
        <v>605</v>
      </c>
      <c r="F1" s="111" t="s">
        <v>606</v>
      </c>
      <c r="G1" s="111" t="s">
        <v>607</v>
      </c>
      <c r="H1" s="111" t="s">
        <v>608</v>
      </c>
    </row>
    <row r="2" spans="1:8" x14ac:dyDescent="0.2">
      <c r="A2" t="s">
        <v>609</v>
      </c>
      <c r="B2" t="s">
        <v>610</v>
      </c>
      <c r="C2" t="s">
        <v>611</v>
      </c>
      <c r="D2" t="b">
        <v>0</v>
      </c>
      <c r="E2" t="s">
        <v>612</v>
      </c>
      <c r="F2" t="s">
        <v>613</v>
      </c>
      <c r="G2" t="s">
        <v>614</v>
      </c>
      <c r="H2" s="111" t="s">
        <v>615</v>
      </c>
    </row>
    <row r="3" spans="1:8" x14ac:dyDescent="0.2">
      <c r="A3" t="s">
        <v>616</v>
      </c>
      <c r="B3" t="s">
        <v>617</v>
      </c>
      <c r="C3" t="s">
        <v>618</v>
      </c>
      <c r="D3" t="b">
        <v>0</v>
      </c>
      <c r="E3" t="s">
        <v>612</v>
      </c>
      <c r="F3" t="s">
        <v>613</v>
      </c>
      <c r="G3" t="s">
        <v>614</v>
      </c>
      <c r="H3" s="111" t="s">
        <v>615</v>
      </c>
    </row>
    <row r="4" spans="1:8" x14ac:dyDescent="0.2">
      <c r="A4" t="s">
        <v>619</v>
      </c>
      <c r="B4" t="s">
        <v>620</v>
      </c>
      <c r="C4" t="s">
        <v>621</v>
      </c>
      <c r="D4" t="b">
        <v>0</v>
      </c>
      <c r="E4" t="s">
        <v>612</v>
      </c>
      <c r="F4" t="s">
        <v>613</v>
      </c>
      <c r="G4" t="s">
        <v>614</v>
      </c>
      <c r="H4" s="111" t="s">
        <v>615</v>
      </c>
    </row>
    <row r="5" spans="1:8" x14ac:dyDescent="0.2">
      <c r="A5" t="s">
        <v>622</v>
      </c>
      <c r="B5" t="s">
        <v>623</v>
      </c>
      <c r="C5" t="s">
        <v>624</v>
      </c>
      <c r="D5" t="b">
        <v>0</v>
      </c>
      <c r="E5" t="s">
        <v>612</v>
      </c>
      <c r="F5" t="s">
        <v>613</v>
      </c>
      <c r="G5" t="s">
        <v>614</v>
      </c>
      <c r="H5" s="111" t="s">
        <v>615</v>
      </c>
    </row>
    <row r="6" spans="1:8" x14ac:dyDescent="0.2">
      <c r="A6" t="s">
        <v>625</v>
      </c>
      <c r="B6" t="s">
        <v>626</v>
      </c>
      <c r="C6" t="s">
        <v>627</v>
      </c>
      <c r="D6" t="b">
        <v>0</v>
      </c>
      <c r="E6" t="s">
        <v>612</v>
      </c>
      <c r="F6" t="s">
        <v>613</v>
      </c>
      <c r="G6" t="s">
        <v>614</v>
      </c>
      <c r="H6" s="111" t="s">
        <v>615</v>
      </c>
    </row>
    <row r="7" spans="1:8" x14ac:dyDescent="0.2">
      <c r="A7" t="s">
        <v>628</v>
      </c>
      <c r="B7" t="s">
        <v>629</v>
      </c>
      <c r="C7" t="s">
        <v>630</v>
      </c>
      <c r="D7" t="b">
        <v>0</v>
      </c>
      <c r="E7" t="s">
        <v>612</v>
      </c>
      <c r="F7" t="s">
        <v>613</v>
      </c>
      <c r="G7" t="s">
        <v>614</v>
      </c>
      <c r="H7" s="111" t="s">
        <v>615</v>
      </c>
    </row>
    <row r="8" spans="1:8" x14ac:dyDescent="0.2">
      <c r="A8" t="s">
        <v>631</v>
      </c>
      <c r="B8" t="s">
        <v>632</v>
      </c>
      <c r="C8" t="s">
        <v>633</v>
      </c>
      <c r="D8" t="b">
        <v>0</v>
      </c>
      <c r="E8" t="s">
        <v>612</v>
      </c>
      <c r="F8" t="s">
        <v>613</v>
      </c>
      <c r="G8" t="s">
        <v>614</v>
      </c>
      <c r="H8" s="111" t="s">
        <v>615</v>
      </c>
    </row>
    <row r="9" spans="1:8" x14ac:dyDescent="0.2">
      <c r="A9" t="s">
        <v>634</v>
      </c>
      <c r="B9" t="s">
        <v>635</v>
      </c>
      <c r="C9" t="s">
        <v>636</v>
      </c>
      <c r="D9" t="b">
        <v>0</v>
      </c>
      <c r="E9" t="s">
        <v>612</v>
      </c>
      <c r="F9" t="s">
        <v>613</v>
      </c>
      <c r="G9" t="s">
        <v>614</v>
      </c>
      <c r="H9" s="111" t="s">
        <v>615</v>
      </c>
    </row>
    <row r="10" spans="1:8" x14ac:dyDescent="0.2">
      <c r="A10" t="s">
        <v>637</v>
      </c>
      <c r="B10" t="s">
        <v>638</v>
      </c>
      <c r="C10" t="s">
        <v>639</v>
      </c>
      <c r="D10" t="b">
        <v>0</v>
      </c>
      <c r="E10" t="s">
        <v>612</v>
      </c>
      <c r="F10" t="s">
        <v>613</v>
      </c>
      <c r="G10" t="s">
        <v>614</v>
      </c>
      <c r="H10" s="111" t="s">
        <v>615</v>
      </c>
    </row>
    <row r="11" spans="1:8" x14ac:dyDescent="0.2">
      <c r="A11" t="s">
        <v>307</v>
      </c>
      <c r="B11" t="s">
        <v>640</v>
      </c>
      <c r="C11" t="s">
        <v>641</v>
      </c>
      <c r="D11" t="b">
        <v>0</v>
      </c>
      <c r="E11" t="s">
        <v>612</v>
      </c>
      <c r="F11" t="s">
        <v>613</v>
      </c>
      <c r="G11" t="s">
        <v>614</v>
      </c>
      <c r="H11" s="111" t="s">
        <v>615</v>
      </c>
    </row>
    <row r="12" spans="1:8" x14ac:dyDescent="0.2">
      <c r="A12" t="s">
        <v>34</v>
      </c>
      <c r="B12" t="s">
        <v>642</v>
      </c>
      <c r="C12" t="s">
        <v>643</v>
      </c>
      <c r="D12" t="b">
        <v>0</v>
      </c>
      <c r="E12" t="s">
        <v>612</v>
      </c>
      <c r="F12" t="s">
        <v>613</v>
      </c>
      <c r="G12" t="s">
        <v>614</v>
      </c>
      <c r="H12" s="111" t="s">
        <v>615</v>
      </c>
    </row>
    <row r="13" spans="1:8" x14ac:dyDescent="0.2">
      <c r="A13" t="s">
        <v>33</v>
      </c>
      <c r="B13" t="s">
        <v>644</v>
      </c>
      <c r="C13" t="s">
        <v>645</v>
      </c>
      <c r="D13" t="b">
        <v>0</v>
      </c>
      <c r="E13" t="s">
        <v>612</v>
      </c>
      <c r="F13" t="s">
        <v>613</v>
      </c>
      <c r="G13" t="s">
        <v>614</v>
      </c>
      <c r="H13" s="111" t="s">
        <v>615</v>
      </c>
    </row>
    <row r="14" spans="1:8" x14ac:dyDescent="0.2">
      <c r="A14" t="s">
        <v>32</v>
      </c>
      <c r="B14" t="s">
        <v>646</v>
      </c>
      <c r="C14" t="s">
        <v>647</v>
      </c>
      <c r="D14" t="b">
        <v>0</v>
      </c>
      <c r="E14" t="s">
        <v>612</v>
      </c>
      <c r="F14" t="s">
        <v>613</v>
      </c>
      <c r="G14" t="s">
        <v>614</v>
      </c>
      <c r="H14" s="111" t="s">
        <v>615</v>
      </c>
    </row>
    <row r="15" spans="1:8" x14ac:dyDescent="0.2">
      <c r="A15" t="s">
        <v>30</v>
      </c>
      <c r="B15" t="s">
        <v>648</v>
      </c>
      <c r="C15" t="s">
        <v>649</v>
      </c>
      <c r="D15" t="b">
        <v>0</v>
      </c>
      <c r="E15" t="s">
        <v>612</v>
      </c>
      <c r="F15" t="s">
        <v>613</v>
      </c>
      <c r="G15" t="s">
        <v>614</v>
      </c>
      <c r="H15" s="111" t="s">
        <v>615</v>
      </c>
    </row>
    <row r="16" spans="1:8" x14ac:dyDescent="0.2">
      <c r="A16" t="s">
        <v>129</v>
      </c>
      <c r="B16" t="s">
        <v>650</v>
      </c>
      <c r="C16" t="s">
        <v>651</v>
      </c>
      <c r="D16" t="b">
        <v>0</v>
      </c>
      <c r="E16" t="s">
        <v>612</v>
      </c>
      <c r="F16" t="s">
        <v>613</v>
      </c>
      <c r="G16" t="s">
        <v>614</v>
      </c>
      <c r="H16" s="111" t="s">
        <v>615</v>
      </c>
    </row>
    <row r="17" spans="1:8" x14ac:dyDescent="0.2">
      <c r="A17" t="s">
        <v>652</v>
      </c>
      <c r="B17" t="s">
        <v>653</v>
      </c>
      <c r="C17" t="s">
        <v>652</v>
      </c>
      <c r="D17" t="b">
        <v>0</v>
      </c>
      <c r="E17" t="s">
        <v>612</v>
      </c>
      <c r="F17" t="s">
        <v>613</v>
      </c>
      <c r="G17" t="s">
        <v>654</v>
      </c>
      <c r="H17" s="111" t="s">
        <v>615</v>
      </c>
    </row>
    <row r="18" spans="1:8" x14ac:dyDescent="0.2">
      <c r="A18" t="s">
        <v>655</v>
      </c>
      <c r="B18" t="s">
        <v>656</v>
      </c>
      <c r="C18" t="s">
        <v>655</v>
      </c>
      <c r="D18" t="b">
        <v>0</v>
      </c>
      <c r="E18" t="s">
        <v>612</v>
      </c>
      <c r="F18" t="s">
        <v>613</v>
      </c>
      <c r="G18" t="s">
        <v>654</v>
      </c>
      <c r="H18" s="111" t="s">
        <v>615</v>
      </c>
    </row>
    <row r="19" spans="1:8" x14ac:dyDescent="0.2">
      <c r="A19" t="s">
        <v>657</v>
      </c>
      <c r="B19" t="s">
        <v>658</v>
      </c>
      <c r="C19" t="s">
        <v>657</v>
      </c>
      <c r="D19" t="b">
        <v>0</v>
      </c>
      <c r="E19" t="s">
        <v>612</v>
      </c>
      <c r="F19" t="s">
        <v>613</v>
      </c>
      <c r="G19" t="s">
        <v>654</v>
      </c>
      <c r="H19" s="111" t="s">
        <v>615</v>
      </c>
    </row>
    <row r="20" spans="1:8" x14ac:dyDescent="0.2">
      <c r="A20" t="s">
        <v>659</v>
      </c>
      <c r="B20" t="s">
        <v>660</v>
      </c>
      <c r="C20" t="s">
        <v>659</v>
      </c>
      <c r="D20" t="b">
        <v>0</v>
      </c>
      <c r="E20" t="s">
        <v>612</v>
      </c>
      <c r="F20" t="s">
        <v>613</v>
      </c>
      <c r="G20" t="s">
        <v>654</v>
      </c>
      <c r="H20" s="111" t="s">
        <v>615</v>
      </c>
    </row>
    <row r="21" spans="1:8" x14ac:dyDescent="0.2">
      <c r="A21" t="s">
        <v>661</v>
      </c>
      <c r="B21" t="s">
        <v>662</v>
      </c>
      <c r="C21" t="s">
        <v>661</v>
      </c>
      <c r="D21" t="b">
        <v>0</v>
      </c>
      <c r="E21" t="s">
        <v>612</v>
      </c>
      <c r="F21" t="s">
        <v>613</v>
      </c>
      <c r="G21" t="s">
        <v>654</v>
      </c>
      <c r="H21" s="111" t="s">
        <v>615</v>
      </c>
    </row>
    <row r="22" spans="1:8" x14ac:dyDescent="0.2">
      <c r="A22" t="s">
        <v>663</v>
      </c>
      <c r="B22" t="s">
        <v>664</v>
      </c>
      <c r="C22" t="s">
        <v>663</v>
      </c>
      <c r="D22" t="b">
        <v>0</v>
      </c>
      <c r="E22" t="s">
        <v>612</v>
      </c>
      <c r="F22" t="s">
        <v>613</v>
      </c>
      <c r="G22" t="s">
        <v>654</v>
      </c>
      <c r="H22" s="111" t="s">
        <v>615</v>
      </c>
    </row>
    <row r="23" spans="1:8" x14ac:dyDescent="0.2">
      <c r="A23" t="s">
        <v>665</v>
      </c>
      <c r="B23" t="s">
        <v>666</v>
      </c>
      <c r="C23" t="s">
        <v>665</v>
      </c>
      <c r="D23" t="b">
        <v>0</v>
      </c>
      <c r="E23" t="s">
        <v>612</v>
      </c>
      <c r="F23" t="s">
        <v>613</v>
      </c>
      <c r="G23" t="s">
        <v>654</v>
      </c>
      <c r="H23" s="111" t="s">
        <v>615</v>
      </c>
    </row>
    <row r="24" spans="1:8" x14ac:dyDescent="0.2">
      <c r="A24" t="s">
        <v>667</v>
      </c>
      <c r="B24" t="s">
        <v>668</v>
      </c>
      <c r="C24" t="s">
        <v>667</v>
      </c>
      <c r="D24" t="b">
        <v>0</v>
      </c>
      <c r="E24" t="s">
        <v>612</v>
      </c>
      <c r="F24" t="s">
        <v>613</v>
      </c>
      <c r="G24" t="s">
        <v>654</v>
      </c>
      <c r="H24" s="111" t="s">
        <v>615</v>
      </c>
    </row>
    <row r="25" spans="1:8" x14ac:dyDescent="0.2">
      <c r="A25" t="s">
        <v>669</v>
      </c>
      <c r="B25" t="s">
        <v>670</v>
      </c>
      <c r="C25" t="s">
        <v>669</v>
      </c>
      <c r="D25" t="b">
        <v>0</v>
      </c>
      <c r="E25" t="s">
        <v>612</v>
      </c>
      <c r="F25" t="s">
        <v>613</v>
      </c>
      <c r="G25" t="s">
        <v>654</v>
      </c>
      <c r="H25" s="111" t="s">
        <v>615</v>
      </c>
    </row>
    <row r="26" spans="1:8" x14ac:dyDescent="0.2">
      <c r="A26" t="s">
        <v>671</v>
      </c>
      <c r="B26" t="s">
        <v>672</v>
      </c>
      <c r="C26" t="s">
        <v>671</v>
      </c>
      <c r="D26" t="b">
        <v>0</v>
      </c>
      <c r="E26" t="s">
        <v>612</v>
      </c>
      <c r="F26" t="s">
        <v>613</v>
      </c>
      <c r="G26" t="s">
        <v>654</v>
      </c>
      <c r="H26" s="111" t="s">
        <v>615</v>
      </c>
    </row>
    <row r="27" spans="1:8" x14ac:dyDescent="0.2">
      <c r="A27" t="s">
        <v>673</v>
      </c>
      <c r="B27" t="s">
        <v>674</v>
      </c>
      <c r="C27" t="s">
        <v>673</v>
      </c>
      <c r="D27" t="b">
        <v>0</v>
      </c>
      <c r="E27" t="s">
        <v>612</v>
      </c>
      <c r="F27" t="s">
        <v>613</v>
      </c>
      <c r="G27" t="s">
        <v>654</v>
      </c>
      <c r="H27" s="111" t="s">
        <v>615</v>
      </c>
    </row>
    <row r="28" spans="1:8" x14ac:dyDescent="0.2">
      <c r="A28" t="s">
        <v>675</v>
      </c>
      <c r="B28" t="s">
        <v>676</v>
      </c>
      <c r="C28" t="s">
        <v>675</v>
      </c>
      <c r="D28" t="b">
        <v>0</v>
      </c>
      <c r="E28" t="s">
        <v>612</v>
      </c>
      <c r="F28" t="s">
        <v>613</v>
      </c>
      <c r="G28" t="s">
        <v>654</v>
      </c>
      <c r="H28" s="111" t="s">
        <v>615</v>
      </c>
    </row>
    <row r="29" spans="1:8" x14ac:dyDescent="0.2">
      <c r="A29" t="s">
        <v>677</v>
      </c>
      <c r="B29" t="s">
        <v>678</v>
      </c>
      <c r="C29" t="s">
        <v>677</v>
      </c>
      <c r="D29" t="b">
        <v>0</v>
      </c>
      <c r="E29" t="s">
        <v>612</v>
      </c>
      <c r="F29" t="s">
        <v>613</v>
      </c>
      <c r="G29" t="s">
        <v>654</v>
      </c>
      <c r="H29" s="111" t="s">
        <v>615</v>
      </c>
    </row>
    <row r="30" spans="1:8" x14ac:dyDescent="0.2">
      <c r="A30" t="s">
        <v>679</v>
      </c>
      <c r="B30" t="s">
        <v>680</v>
      </c>
      <c r="C30" t="s">
        <v>679</v>
      </c>
      <c r="D30" t="b">
        <v>0</v>
      </c>
      <c r="E30" t="s">
        <v>612</v>
      </c>
      <c r="F30" t="s">
        <v>613</v>
      </c>
      <c r="G30" t="s">
        <v>654</v>
      </c>
      <c r="H30" s="111" t="s">
        <v>615</v>
      </c>
    </row>
    <row r="31" spans="1:8" x14ac:dyDescent="0.2">
      <c r="A31" t="s">
        <v>681</v>
      </c>
      <c r="B31" t="s">
        <v>682</v>
      </c>
      <c r="C31" t="s">
        <v>681</v>
      </c>
      <c r="D31" t="b">
        <v>0</v>
      </c>
      <c r="E31" t="s">
        <v>612</v>
      </c>
      <c r="F31" t="s">
        <v>613</v>
      </c>
      <c r="G31" t="s">
        <v>654</v>
      </c>
      <c r="H31" s="111" t="s">
        <v>615</v>
      </c>
    </row>
    <row r="32" spans="1:8" x14ac:dyDescent="0.2">
      <c r="A32" t="s">
        <v>683</v>
      </c>
      <c r="B32" t="s">
        <v>684</v>
      </c>
      <c r="C32" t="s">
        <v>683</v>
      </c>
      <c r="D32" t="b">
        <v>0</v>
      </c>
      <c r="E32" t="s">
        <v>612</v>
      </c>
      <c r="F32" t="s">
        <v>613</v>
      </c>
      <c r="G32" t="s">
        <v>654</v>
      </c>
      <c r="H32" s="111" t="s">
        <v>615</v>
      </c>
    </row>
    <row r="33" spans="1:8" x14ac:dyDescent="0.2">
      <c r="A33" t="s">
        <v>685</v>
      </c>
      <c r="B33" t="s">
        <v>686</v>
      </c>
      <c r="C33" t="s">
        <v>685</v>
      </c>
      <c r="D33" t="b">
        <v>0</v>
      </c>
      <c r="E33" t="s">
        <v>612</v>
      </c>
      <c r="F33" t="s">
        <v>613</v>
      </c>
      <c r="G33" t="s">
        <v>654</v>
      </c>
      <c r="H33" s="111" t="s">
        <v>615</v>
      </c>
    </row>
    <row r="34" spans="1:8" x14ac:dyDescent="0.2">
      <c r="A34" t="s">
        <v>687</v>
      </c>
      <c r="B34" t="s">
        <v>688</v>
      </c>
      <c r="C34" t="s">
        <v>687</v>
      </c>
      <c r="D34" t="b">
        <v>0</v>
      </c>
      <c r="E34" t="s">
        <v>612</v>
      </c>
      <c r="F34" t="s">
        <v>613</v>
      </c>
      <c r="G34" t="s">
        <v>654</v>
      </c>
      <c r="H34" s="111" t="s">
        <v>615</v>
      </c>
    </row>
    <row r="35" spans="1:8" x14ac:dyDescent="0.2">
      <c r="A35" t="s">
        <v>689</v>
      </c>
      <c r="B35" t="s">
        <v>690</v>
      </c>
      <c r="C35" t="s">
        <v>689</v>
      </c>
      <c r="D35" t="b">
        <v>0</v>
      </c>
      <c r="E35" t="s">
        <v>612</v>
      </c>
      <c r="F35" t="s">
        <v>613</v>
      </c>
      <c r="G35" t="s">
        <v>654</v>
      </c>
      <c r="H35" s="111" t="s">
        <v>615</v>
      </c>
    </row>
    <row r="36" spans="1:8" x14ac:dyDescent="0.2">
      <c r="A36" t="s">
        <v>691</v>
      </c>
      <c r="B36" t="s">
        <v>692</v>
      </c>
      <c r="C36" t="s">
        <v>691</v>
      </c>
      <c r="D36" t="b">
        <v>0</v>
      </c>
      <c r="E36" t="s">
        <v>612</v>
      </c>
      <c r="F36" t="s">
        <v>613</v>
      </c>
      <c r="G36" t="s">
        <v>654</v>
      </c>
      <c r="H36" s="111" t="s">
        <v>615</v>
      </c>
    </row>
    <row r="37" spans="1:8" x14ac:dyDescent="0.2">
      <c r="A37" t="s">
        <v>693</v>
      </c>
      <c r="B37" t="s">
        <v>694</v>
      </c>
      <c r="C37" t="s">
        <v>693</v>
      </c>
      <c r="D37" t="b">
        <v>0</v>
      </c>
      <c r="E37" t="s">
        <v>612</v>
      </c>
      <c r="F37" t="s">
        <v>613</v>
      </c>
      <c r="G37" t="s">
        <v>654</v>
      </c>
      <c r="H37" s="111" t="s">
        <v>615</v>
      </c>
    </row>
    <row r="38" spans="1:8" x14ac:dyDescent="0.2">
      <c r="A38" t="s">
        <v>695</v>
      </c>
      <c r="B38" t="s">
        <v>696</v>
      </c>
      <c r="C38" t="s">
        <v>695</v>
      </c>
      <c r="D38" t="b">
        <v>0</v>
      </c>
      <c r="E38" t="s">
        <v>612</v>
      </c>
      <c r="F38" t="s">
        <v>613</v>
      </c>
      <c r="G38" t="s">
        <v>654</v>
      </c>
      <c r="H38" s="111" t="s">
        <v>615</v>
      </c>
    </row>
    <row r="39" spans="1:8" x14ac:dyDescent="0.2">
      <c r="A39" t="s">
        <v>697</v>
      </c>
      <c r="B39" t="s">
        <v>698</v>
      </c>
      <c r="C39" t="s">
        <v>697</v>
      </c>
      <c r="D39" t="b">
        <v>0</v>
      </c>
      <c r="E39" t="s">
        <v>612</v>
      </c>
      <c r="F39" t="s">
        <v>613</v>
      </c>
      <c r="G39" t="s">
        <v>654</v>
      </c>
      <c r="H39" s="111" t="s">
        <v>615</v>
      </c>
    </row>
    <row r="40" spans="1:8" x14ac:dyDescent="0.2">
      <c r="A40" t="s">
        <v>699</v>
      </c>
      <c r="B40" t="s">
        <v>700</v>
      </c>
      <c r="C40" t="s">
        <v>699</v>
      </c>
      <c r="D40" t="b">
        <v>0</v>
      </c>
      <c r="E40" t="s">
        <v>612</v>
      </c>
      <c r="F40" t="s">
        <v>613</v>
      </c>
      <c r="G40" t="s">
        <v>654</v>
      </c>
      <c r="H40" s="111" t="s">
        <v>615</v>
      </c>
    </row>
    <row r="41" spans="1:8" x14ac:dyDescent="0.2">
      <c r="A41" t="s">
        <v>701</v>
      </c>
      <c r="B41" t="s">
        <v>702</v>
      </c>
      <c r="C41" t="s">
        <v>701</v>
      </c>
      <c r="D41" t="b">
        <v>0</v>
      </c>
      <c r="E41" t="s">
        <v>612</v>
      </c>
      <c r="F41" t="s">
        <v>613</v>
      </c>
      <c r="G41" t="s">
        <v>703</v>
      </c>
      <c r="H41" s="111" t="s">
        <v>615</v>
      </c>
    </row>
    <row r="42" spans="1:8" x14ac:dyDescent="0.2">
      <c r="A42" t="s">
        <v>704</v>
      </c>
      <c r="B42" t="s">
        <v>705</v>
      </c>
      <c r="C42" t="s">
        <v>704</v>
      </c>
      <c r="D42" t="b">
        <v>0</v>
      </c>
      <c r="E42" t="s">
        <v>612</v>
      </c>
      <c r="F42" t="s">
        <v>613</v>
      </c>
      <c r="G42" t="s">
        <v>703</v>
      </c>
      <c r="H42" s="111" t="s">
        <v>615</v>
      </c>
    </row>
    <row r="43" spans="1:8" x14ac:dyDescent="0.2">
      <c r="A43" t="s">
        <v>706</v>
      </c>
      <c r="B43" t="s">
        <v>707</v>
      </c>
      <c r="C43" t="s">
        <v>706</v>
      </c>
      <c r="D43" t="b">
        <v>0</v>
      </c>
      <c r="E43" t="s">
        <v>612</v>
      </c>
      <c r="F43" t="s">
        <v>613</v>
      </c>
      <c r="G43" t="s">
        <v>703</v>
      </c>
      <c r="H43" s="111" t="s">
        <v>615</v>
      </c>
    </row>
    <row r="44" spans="1:8" x14ac:dyDescent="0.2">
      <c r="A44" t="s">
        <v>708</v>
      </c>
      <c r="B44" t="s">
        <v>709</v>
      </c>
      <c r="C44" t="s">
        <v>708</v>
      </c>
      <c r="D44" t="b">
        <v>0</v>
      </c>
      <c r="E44" t="s">
        <v>612</v>
      </c>
      <c r="F44" t="s">
        <v>613</v>
      </c>
      <c r="G44" t="s">
        <v>703</v>
      </c>
      <c r="H44" s="111" t="s">
        <v>615</v>
      </c>
    </row>
    <row r="45" spans="1:8" x14ac:dyDescent="0.2">
      <c r="A45" t="s">
        <v>710</v>
      </c>
      <c r="B45" t="s">
        <v>711</v>
      </c>
      <c r="C45" t="s">
        <v>710</v>
      </c>
      <c r="D45" t="b">
        <v>0</v>
      </c>
      <c r="E45" t="s">
        <v>612</v>
      </c>
      <c r="F45" t="s">
        <v>613</v>
      </c>
      <c r="G45" t="s">
        <v>703</v>
      </c>
      <c r="H45" s="111" t="s">
        <v>615</v>
      </c>
    </row>
    <row r="46" spans="1:8" x14ac:dyDescent="0.2">
      <c r="A46" t="s">
        <v>712</v>
      </c>
      <c r="B46" t="s">
        <v>713</v>
      </c>
      <c r="C46" t="s">
        <v>712</v>
      </c>
      <c r="D46" t="b">
        <v>0</v>
      </c>
      <c r="E46" t="s">
        <v>612</v>
      </c>
      <c r="F46" t="s">
        <v>613</v>
      </c>
      <c r="G46" t="s">
        <v>703</v>
      </c>
      <c r="H46" s="111" t="s">
        <v>615</v>
      </c>
    </row>
    <row r="47" spans="1:8" x14ac:dyDescent="0.2">
      <c r="A47" t="s">
        <v>714</v>
      </c>
      <c r="B47" t="s">
        <v>715</v>
      </c>
      <c r="C47" t="s">
        <v>714</v>
      </c>
      <c r="D47" t="b">
        <v>0</v>
      </c>
      <c r="E47" t="s">
        <v>612</v>
      </c>
      <c r="F47" t="s">
        <v>613</v>
      </c>
      <c r="G47" t="s">
        <v>703</v>
      </c>
      <c r="H47" s="111" t="s">
        <v>615</v>
      </c>
    </row>
    <row r="48" spans="1:8" x14ac:dyDescent="0.2">
      <c r="A48" t="s">
        <v>716</v>
      </c>
      <c r="B48" t="s">
        <v>717</v>
      </c>
      <c r="C48" t="s">
        <v>716</v>
      </c>
      <c r="D48" t="b">
        <v>0</v>
      </c>
      <c r="E48" t="s">
        <v>612</v>
      </c>
      <c r="F48" t="s">
        <v>613</v>
      </c>
      <c r="G48" t="s">
        <v>703</v>
      </c>
      <c r="H48" s="111" t="s">
        <v>615</v>
      </c>
    </row>
    <row r="49" spans="1:8" x14ac:dyDescent="0.2">
      <c r="A49" t="s">
        <v>718</v>
      </c>
      <c r="B49" t="s">
        <v>719</v>
      </c>
      <c r="C49" t="s">
        <v>718</v>
      </c>
      <c r="D49" t="b">
        <v>0</v>
      </c>
      <c r="E49" t="s">
        <v>612</v>
      </c>
      <c r="F49" t="s">
        <v>613</v>
      </c>
      <c r="G49" t="s">
        <v>703</v>
      </c>
      <c r="H49" s="111" t="s">
        <v>615</v>
      </c>
    </row>
    <row r="50" spans="1:8" x14ac:dyDescent="0.2">
      <c r="A50" t="s">
        <v>720</v>
      </c>
      <c r="B50" t="s">
        <v>721</v>
      </c>
      <c r="C50" t="s">
        <v>720</v>
      </c>
      <c r="D50" t="b">
        <v>0</v>
      </c>
      <c r="E50" t="s">
        <v>612</v>
      </c>
      <c r="F50" t="s">
        <v>613</v>
      </c>
      <c r="G50" t="s">
        <v>703</v>
      </c>
      <c r="H50" s="111" t="s">
        <v>615</v>
      </c>
    </row>
    <row r="51" spans="1:8" x14ac:dyDescent="0.2">
      <c r="A51" t="s">
        <v>722</v>
      </c>
      <c r="B51" t="s">
        <v>992</v>
      </c>
      <c r="C51" t="s">
        <v>722</v>
      </c>
      <c r="D51" t="b">
        <v>0</v>
      </c>
      <c r="E51" t="s">
        <v>612</v>
      </c>
      <c r="F51" t="s">
        <v>613</v>
      </c>
      <c r="G51" t="s">
        <v>703</v>
      </c>
      <c r="H51" s="111" t="s">
        <v>615</v>
      </c>
    </row>
    <row r="52" spans="1:8" x14ac:dyDescent="0.2">
      <c r="A52" t="s">
        <v>723</v>
      </c>
      <c r="B52" t="s">
        <v>993</v>
      </c>
      <c r="C52" t="s">
        <v>723</v>
      </c>
      <c r="D52" t="b">
        <v>0</v>
      </c>
      <c r="E52" t="s">
        <v>612</v>
      </c>
      <c r="F52" t="s">
        <v>613</v>
      </c>
      <c r="G52" t="s">
        <v>703</v>
      </c>
      <c r="H52" s="111" t="s">
        <v>615</v>
      </c>
    </row>
    <row r="53" spans="1:8" x14ac:dyDescent="0.2">
      <c r="A53" t="s">
        <v>724</v>
      </c>
      <c r="B53" t="s">
        <v>994</v>
      </c>
      <c r="C53" t="s">
        <v>724</v>
      </c>
      <c r="D53" t="b">
        <v>0</v>
      </c>
      <c r="E53" t="s">
        <v>612</v>
      </c>
      <c r="F53" t="s">
        <v>613</v>
      </c>
      <c r="G53" t="s">
        <v>703</v>
      </c>
      <c r="H53" s="111" t="s">
        <v>615</v>
      </c>
    </row>
    <row r="54" spans="1:8" x14ac:dyDescent="0.2">
      <c r="A54" t="s">
        <v>725</v>
      </c>
      <c r="B54" t="s">
        <v>995</v>
      </c>
      <c r="C54" t="s">
        <v>725</v>
      </c>
      <c r="D54" t="b">
        <v>0</v>
      </c>
      <c r="E54" t="s">
        <v>612</v>
      </c>
      <c r="F54" t="s">
        <v>613</v>
      </c>
      <c r="G54" t="s">
        <v>703</v>
      </c>
      <c r="H54" s="111" t="s">
        <v>615</v>
      </c>
    </row>
    <row r="55" spans="1:8" x14ac:dyDescent="0.2">
      <c r="A55" t="s">
        <v>726</v>
      </c>
      <c r="B55" t="s">
        <v>996</v>
      </c>
      <c r="C55" t="s">
        <v>726</v>
      </c>
      <c r="D55" t="b">
        <v>0</v>
      </c>
      <c r="E55" t="s">
        <v>612</v>
      </c>
      <c r="F55" t="s">
        <v>613</v>
      </c>
      <c r="G55" t="s">
        <v>703</v>
      </c>
      <c r="H55" s="111" t="s">
        <v>615</v>
      </c>
    </row>
    <row r="56" spans="1:8" x14ac:dyDescent="0.2">
      <c r="A56" t="s">
        <v>727</v>
      </c>
      <c r="B56" t="s">
        <v>541</v>
      </c>
      <c r="C56" t="s">
        <v>727</v>
      </c>
      <c r="D56" t="b">
        <v>0</v>
      </c>
      <c r="E56" t="s">
        <v>728</v>
      </c>
      <c r="F56" t="s">
        <v>729</v>
      </c>
      <c r="G56" t="s">
        <v>730</v>
      </c>
      <c r="H56" s="111" t="s">
        <v>615</v>
      </c>
    </row>
    <row r="57" spans="1:8" x14ac:dyDescent="0.2">
      <c r="A57" t="s">
        <v>731</v>
      </c>
      <c r="B57" t="s">
        <v>732</v>
      </c>
      <c r="C57" t="s">
        <v>731</v>
      </c>
      <c r="D57" t="b">
        <v>0</v>
      </c>
      <c r="E57" t="s">
        <v>728</v>
      </c>
      <c r="F57" t="s">
        <v>729</v>
      </c>
      <c r="G57" t="s">
        <v>733</v>
      </c>
      <c r="H57" s="111" t="s">
        <v>615</v>
      </c>
    </row>
    <row r="58" spans="1:8" x14ac:dyDescent="0.2">
      <c r="A58" t="s">
        <v>734</v>
      </c>
      <c r="B58" t="s">
        <v>735</v>
      </c>
      <c r="C58" t="s">
        <v>736</v>
      </c>
      <c r="D58" t="b">
        <v>0</v>
      </c>
      <c r="E58" t="s">
        <v>728</v>
      </c>
      <c r="F58" t="s">
        <v>737</v>
      </c>
      <c r="G58" t="s">
        <v>614</v>
      </c>
      <c r="H58" s="111" t="s">
        <v>615</v>
      </c>
    </row>
    <row r="59" spans="1:8" x14ac:dyDescent="0.2">
      <c r="A59" t="s">
        <v>738</v>
      </c>
      <c r="B59" t="s">
        <v>739</v>
      </c>
      <c r="C59" t="s">
        <v>740</v>
      </c>
      <c r="D59" t="b">
        <v>0</v>
      </c>
      <c r="E59" t="s">
        <v>728</v>
      </c>
      <c r="F59" t="s">
        <v>737</v>
      </c>
      <c r="G59" t="s">
        <v>614</v>
      </c>
      <c r="H59" s="111" t="s">
        <v>615</v>
      </c>
    </row>
    <row r="60" spans="1:8" x14ac:dyDescent="0.2">
      <c r="A60" t="s">
        <v>741</v>
      </c>
      <c r="B60" t="s">
        <v>742</v>
      </c>
      <c r="C60" t="s">
        <v>743</v>
      </c>
      <c r="D60" t="b">
        <v>0</v>
      </c>
      <c r="E60" t="s">
        <v>728</v>
      </c>
      <c r="F60" t="s">
        <v>737</v>
      </c>
      <c r="G60" t="s">
        <v>614</v>
      </c>
      <c r="H60" s="111" t="s">
        <v>615</v>
      </c>
    </row>
    <row r="61" spans="1:8" x14ac:dyDescent="0.2">
      <c r="A61" t="s">
        <v>744</v>
      </c>
      <c r="B61" t="s">
        <v>745</v>
      </c>
      <c r="C61" t="s">
        <v>746</v>
      </c>
      <c r="D61" t="b">
        <v>0</v>
      </c>
      <c r="E61" t="s">
        <v>728</v>
      </c>
      <c r="F61" t="s">
        <v>737</v>
      </c>
      <c r="G61" t="s">
        <v>614</v>
      </c>
      <c r="H61" s="111" t="s">
        <v>615</v>
      </c>
    </row>
    <row r="62" spans="1:8" x14ac:dyDescent="0.2">
      <c r="A62" t="s">
        <v>747</v>
      </c>
      <c r="B62" t="s">
        <v>748</v>
      </c>
      <c r="C62" t="s">
        <v>749</v>
      </c>
      <c r="D62" t="b">
        <v>0</v>
      </c>
      <c r="E62" t="s">
        <v>728</v>
      </c>
      <c r="F62" t="s">
        <v>750</v>
      </c>
      <c r="G62" t="s">
        <v>703</v>
      </c>
      <c r="H62" s="111" t="s">
        <v>615</v>
      </c>
    </row>
    <row r="63" spans="1:8" x14ac:dyDescent="0.2">
      <c r="A63" t="s">
        <v>751</v>
      </c>
      <c r="B63" t="s">
        <v>752</v>
      </c>
      <c r="C63" t="s">
        <v>753</v>
      </c>
      <c r="D63" t="b">
        <v>0</v>
      </c>
      <c r="E63" t="s">
        <v>728</v>
      </c>
      <c r="F63" t="s">
        <v>750</v>
      </c>
      <c r="G63" t="s">
        <v>703</v>
      </c>
      <c r="H63" s="111" t="s">
        <v>615</v>
      </c>
    </row>
    <row r="64" spans="1:8" x14ac:dyDescent="0.2">
      <c r="A64" t="s">
        <v>754</v>
      </c>
      <c r="B64" t="s">
        <v>540</v>
      </c>
      <c r="C64" t="s">
        <v>754</v>
      </c>
      <c r="D64" t="b">
        <v>0</v>
      </c>
      <c r="E64" t="s">
        <v>728</v>
      </c>
      <c r="F64" t="s">
        <v>729</v>
      </c>
      <c r="G64" t="s">
        <v>755</v>
      </c>
      <c r="H64" s="111" t="s">
        <v>615</v>
      </c>
    </row>
    <row r="65" spans="1:8" x14ac:dyDescent="0.2">
      <c r="A65" t="s">
        <v>756</v>
      </c>
      <c r="B65" t="s">
        <v>757</v>
      </c>
      <c r="C65" t="s">
        <v>758</v>
      </c>
      <c r="D65" t="b">
        <v>0</v>
      </c>
      <c r="E65" t="s">
        <v>728</v>
      </c>
      <c r="F65" t="s">
        <v>750</v>
      </c>
      <c r="G65" t="s">
        <v>703</v>
      </c>
      <c r="H65" s="111" t="s">
        <v>615</v>
      </c>
    </row>
    <row r="66" spans="1:8" x14ac:dyDescent="0.2">
      <c r="A66" t="s">
        <v>759</v>
      </c>
      <c r="B66" t="s">
        <v>760</v>
      </c>
      <c r="C66" t="s">
        <v>761</v>
      </c>
      <c r="D66" t="b">
        <v>0</v>
      </c>
      <c r="E66" t="s">
        <v>728</v>
      </c>
      <c r="F66" t="s">
        <v>750</v>
      </c>
      <c r="G66" t="s">
        <v>703</v>
      </c>
      <c r="H66" s="111" t="s">
        <v>615</v>
      </c>
    </row>
    <row r="67" spans="1:8" x14ac:dyDescent="0.2">
      <c r="A67" t="s">
        <v>836</v>
      </c>
      <c r="B67" t="s">
        <v>813</v>
      </c>
      <c r="C67" t="s">
        <v>836</v>
      </c>
      <c r="D67" t="b">
        <v>0</v>
      </c>
      <c r="E67" t="s">
        <v>728</v>
      </c>
      <c r="F67" t="s">
        <v>750</v>
      </c>
      <c r="G67" t="s">
        <v>654</v>
      </c>
      <c r="H67" t="s">
        <v>615</v>
      </c>
    </row>
    <row r="68" spans="1:8" x14ac:dyDescent="0.2">
      <c r="A68" t="s">
        <v>836</v>
      </c>
      <c r="B68" t="s">
        <v>814</v>
      </c>
      <c r="C68" t="s">
        <v>836</v>
      </c>
      <c r="D68" t="b">
        <v>0</v>
      </c>
      <c r="E68" t="s">
        <v>728</v>
      </c>
      <c r="F68" t="s">
        <v>750</v>
      </c>
      <c r="G68" t="s">
        <v>654</v>
      </c>
      <c r="H68" t="s">
        <v>615</v>
      </c>
    </row>
    <row r="69" spans="1:8" x14ac:dyDescent="0.2">
      <c r="A69" t="s">
        <v>836</v>
      </c>
      <c r="B69" t="s">
        <v>815</v>
      </c>
      <c r="C69" t="s">
        <v>836</v>
      </c>
      <c r="D69" t="b">
        <v>0</v>
      </c>
      <c r="E69" t="s">
        <v>728</v>
      </c>
      <c r="F69" t="s">
        <v>750</v>
      </c>
      <c r="G69" t="s">
        <v>654</v>
      </c>
      <c r="H69" t="s">
        <v>615</v>
      </c>
    </row>
    <row r="70" spans="1:8" x14ac:dyDescent="0.2">
      <c r="A70" t="s">
        <v>837</v>
      </c>
      <c r="B70" t="s">
        <v>817</v>
      </c>
      <c r="C70" t="s">
        <v>837</v>
      </c>
      <c r="D70" t="b">
        <v>0</v>
      </c>
      <c r="E70" t="s">
        <v>728</v>
      </c>
      <c r="F70" t="s">
        <v>750</v>
      </c>
      <c r="G70" t="s">
        <v>654</v>
      </c>
      <c r="H70" t="s">
        <v>615</v>
      </c>
    </row>
    <row r="71" spans="1:8" x14ac:dyDescent="0.2">
      <c r="A71" t="s">
        <v>837</v>
      </c>
      <c r="B71" t="s">
        <v>818</v>
      </c>
      <c r="C71" t="s">
        <v>837</v>
      </c>
      <c r="D71" t="b">
        <v>0</v>
      </c>
      <c r="E71" t="s">
        <v>728</v>
      </c>
      <c r="F71" t="s">
        <v>750</v>
      </c>
      <c r="G71" t="s">
        <v>654</v>
      </c>
      <c r="H71" t="s">
        <v>615</v>
      </c>
    </row>
    <row r="72" spans="1:8" x14ac:dyDescent="0.2">
      <c r="A72" t="s">
        <v>837</v>
      </c>
      <c r="B72" t="s">
        <v>819</v>
      </c>
      <c r="C72" t="s">
        <v>837</v>
      </c>
      <c r="D72" t="b">
        <v>0</v>
      </c>
      <c r="E72" t="s">
        <v>728</v>
      </c>
      <c r="F72" t="s">
        <v>750</v>
      </c>
      <c r="G72" t="s">
        <v>654</v>
      </c>
      <c r="H72" t="s">
        <v>615</v>
      </c>
    </row>
    <row r="73" spans="1:8" x14ac:dyDescent="0.2">
      <c r="A73" t="s">
        <v>838</v>
      </c>
      <c r="B73" t="s">
        <v>821</v>
      </c>
      <c r="C73" t="s">
        <v>838</v>
      </c>
      <c r="D73" t="b">
        <v>0</v>
      </c>
      <c r="E73" t="s">
        <v>728</v>
      </c>
      <c r="F73" t="s">
        <v>750</v>
      </c>
      <c r="G73" t="s">
        <v>654</v>
      </c>
      <c r="H73" t="s">
        <v>615</v>
      </c>
    </row>
    <row r="74" spans="1:8" x14ac:dyDescent="0.2">
      <c r="A74" t="s">
        <v>838</v>
      </c>
      <c r="B74" t="s">
        <v>822</v>
      </c>
      <c r="C74" t="s">
        <v>838</v>
      </c>
      <c r="D74" t="b">
        <v>0</v>
      </c>
      <c r="E74" t="s">
        <v>728</v>
      </c>
      <c r="F74" t="s">
        <v>750</v>
      </c>
      <c r="G74" t="s">
        <v>654</v>
      </c>
      <c r="H74" t="s">
        <v>615</v>
      </c>
    </row>
    <row r="75" spans="1:8" x14ac:dyDescent="0.2">
      <c r="A75" t="s">
        <v>838</v>
      </c>
      <c r="B75" t="s">
        <v>823</v>
      </c>
      <c r="C75" t="s">
        <v>838</v>
      </c>
      <c r="D75" t="b">
        <v>0</v>
      </c>
      <c r="E75" t="s">
        <v>728</v>
      </c>
      <c r="F75" t="s">
        <v>750</v>
      </c>
      <c r="G75" t="s">
        <v>654</v>
      </c>
      <c r="H75" t="s">
        <v>615</v>
      </c>
    </row>
    <row r="76" spans="1:8" x14ac:dyDescent="0.2">
      <c r="A76" t="s">
        <v>839</v>
      </c>
      <c r="B76" t="s">
        <v>825</v>
      </c>
      <c r="C76" t="s">
        <v>839</v>
      </c>
      <c r="D76" t="b">
        <v>0</v>
      </c>
      <c r="E76" t="s">
        <v>728</v>
      </c>
      <c r="F76" t="s">
        <v>750</v>
      </c>
      <c r="G76" t="s">
        <v>654</v>
      </c>
      <c r="H76" t="s">
        <v>615</v>
      </c>
    </row>
    <row r="77" spans="1:8" x14ac:dyDescent="0.2">
      <c r="A77" t="s">
        <v>839</v>
      </c>
      <c r="B77" t="s">
        <v>826</v>
      </c>
      <c r="C77" t="s">
        <v>839</v>
      </c>
      <c r="D77" t="b">
        <v>0</v>
      </c>
      <c r="E77" t="s">
        <v>728</v>
      </c>
      <c r="F77" t="s">
        <v>750</v>
      </c>
      <c r="G77" t="s">
        <v>654</v>
      </c>
      <c r="H77" t="s">
        <v>615</v>
      </c>
    </row>
    <row r="78" spans="1:8" x14ac:dyDescent="0.2">
      <c r="A78" t="s">
        <v>839</v>
      </c>
      <c r="B78" t="s">
        <v>827</v>
      </c>
      <c r="C78" t="s">
        <v>839</v>
      </c>
      <c r="D78" t="b">
        <v>0</v>
      </c>
      <c r="E78" t="s">
        <v>728</v>
      </c>
      <c r="F78" t="s">
        <v>750</v>
      </c>
      <c r="G78" t="s">
        <v>654</v>
      </c>
      <c r="H78" t="s">
        <v>615</v>
      </c>
    </row>
    <row r="79" spans="1:8" x14ac:dyDescent="0.2">
      <c r="A79" t="s">
        <v>812</v>
      </c>
      <c r="B79" t="s">
        <v>828</v>
      </c>
      <c r="C79" t="s">
        <v>812</v>
      </c>
      <c r="D79" t="b">
        <v>1</v>
      </c>
      <c r="E79" t="s">
        <v>728</v>
      </c>
      <c r="F79" t="s">
        <v>737</v>
      </c>
      <c r="G79" t="s">
        <v>654</v>
      </c>
      <c r="H79" t="s">
        <v>615</v>
      </c>
    </row>
    <row r="80" spans="1:8" x14ac:dyDescent="0.2">
      <c r="A80" t="s">
        <v>816</v>
      </c>
      <c r="B80" t="s">
        <v>829</v>
      </c>
      <c r="C80" t="s">
        <v>816</v>
      </c>
      <c r="D80" t="b">
        <v>1</v>
      </c>
      <c r="E80" t="s">
        <v>728</v>
      </c>
      <c r="F80" t="s">
        <v>737</v>
      </c>
      <c r="G80" t="s">
        <v>654</v>
      </c>
      <c r="H80" t="s">
        <v>615</v>
      </c>
    </row>
    <row r="81" spans="1:8" x14ac:dyDescent="0.2">
      <c r="A81" t="s">
        <v>820</v>
      </c>
      <c r="B81" t="s">
        <v>830</v>
      </c>
      <c r="C81" t="s">
        <v>820</v>
      </c>
      <c r="D81" t="b">
        <v>1</v>
      </c>
      <c r="E81" t="s">
        <v>728</v>
      </c>
      <c r="F81" t="s">
        <v>737</v>
      </c>
      <c r="G81" t="s">
        <v>654</v>
      </c>
      <c r="H81" t="s">
        <v>615</v>
      </c>
    </row>
    <row r="82" spans="1:8" x14ac:dyDescent="0.2">
      <c r="A82" t="s">
        <v>824</v>
      </c>
      <c r="B82" t="s">
        <v>831</v>
      </c>
      <c r="C82" t="s">
        <v>824</v>
      </c>
      <c r="D82" t="b">
        <v>1</v>
      </c>
      <c r="E82" t="s">
        <v>728</v>
      </c>
      <c r="F82" t="s">
        <v>737</v>
      </c>
      <c r="G82" t="s">
        <v>654</v>
      </c>
      <c r="H82" t="s">
        <v>615</v>
      </c>
    </row>
    <row r="83" spans="1:8" x14ac:dyDescent="0.2">
      <c r="A83" t="s">
        <v>843</v>
      </c>
      <c r="B83" t="s">
        <v>844</v>
      </c>
      <c r="C83" t="s">
        <v>843</v>
      </c>
      <c r="D83" t="b">
        <v>1</v>
      </c>
      <c r="E83" t="s">
        <v>728</v>
      </c>
      <c r="F83" t="s">
        <v>737</v>
      </c>
      <c r="G83" t="s">
        <v>614</v>
      </c>
      <c r="H83" t="s">
        <v>615</v>
      </c>
    </row>
    <row r="84" spans="1:8" x14ac:dyDescent="0.2">
      <c r="A84" t="s">
        <v>845</v>
      </c>
      <c r="B84" t="s">
        <v>846</v>
      </c>
      <c r="C84" t="s">
        <v>845</v>
      </c>
      <c r="D84" t="b">
        <v>1</v>
      </c>
      <c r="E84" t="s">
        <v>728</v>
      </c>
      <c r="F84" t="s">
        <v>737</v>
      </c>
      <c r="G84" t="s">
        <v>614</v>
      </c>
      <c r="H84" t="s">
        <v>615</v>
      </c>
    </row>
    <row r="85" spans="1:8" ht="14.25" customHeight="1" x14ac:dyDescent="0.2">
      <c r="A85" t="s">
        <v>847</v>
      </c>
      <c r="B85" t="s">
        <v>848</v>
      </c>
      <c r="C85" t="s">
        <v>847</v>
      </c>
      <c r="D85" t="b">
        <v>1</v>
      </c>
      <c r="E85" t="s">
        <v>728</v>
      </c>
      <c r="F85" t="s">
        <v>737</v>
      </c>
      <c r="G85" t="s">
        <v>614</v>
      </c>
      <c r="H85" t="s">
        <v>615</v>
      </c>
    </row>
    <row r="86" spans="1:8" x14ac:dyDescent="0.2">
      <c r="A86" t="s">
        <v>849</v>
      </c>
      <c r="B86" t="s">
        <v>850</v>
      </c>
      <c r="C86" t="s">
        <v>849</v>
      </c>
      <c r="D86" t="b">
        <v>0</v>
      </c>
      <c r="E86" t="s">
        <v>728</v>
      </c>
      <c r="F86" t="s">
        <v>750</v>
      </c>
      <c r="G86" t="s">
        <v>614</v>
      </c>
      <c r="H86" t="s">
        <v>615</v>
      </c>
    </row>
    <row r="87" spans="1:8" x14ac:dyDescent="0.2">
      <c r="A87" t="s">
        <v>851</v>
      </c>
      <c r="B87" t="s">
        <v>852</v>
      </c>
      <c r="C87" t="s">
        <v>851</v>
      </c>
      <c r="D87" t="b">
        <v>0</v>
      </c>
      <c r="E87" t="s">
        <v>728</v>
      </c>
      <c r="F87" t="s">
        <v>750</v>
      </c>
      <c r="G87" t="s">
        <v>614</v>
      </c>
      <c r="H87" t="s">
        <v>615</v>
      </c>
    </row>
    <row r="88" spans="1:8" x14ac:dyDescent="0.2">
      <c r="A88" t="s">
        <v>853</v>
      </c>
      <c r="B88" t="s">
        <v>854</v>
      </c>
      <c r="C88" t="s">
        <v>853</v>
      </c>
      <c r="D88" t="b">
        <v>0</v>
      </c>
      <c r="E88" t="s">
        <v>728</v>
      </c>
      <c r="F88" t="s">
        <v>750</v>
      </c>
      <c r="G88" t="s">
        <v>614</v>
      </c>
      <c r="H88" t="s">
        <v>615</v>
      </c>
    </row>
    <row r="89" spans="1:8" x14ac:dyDescent="0.2">
      <c r="A89" t="s">
        <v>855</v>
      </c>
      <c r="B89" t="s">
        <v>856</v>
      </c>
      <c r="C89" t="s">
        <v>855</v>
      </c>
      <c r="D89" t="b">
        <v>0</v>
      </c>
      <c r="E89" t="s">
        <v>728</v>
      </c>
      <c r="F89" t="s">
        <v>750</v>
      </c>
      <c r="G89" t="s">
        <v>614</v>
      </c>
      <c r="H89" t="s">
        <v>615</v>
      </c>
    </row>
    <row r="90" spans="1:8" x14ac:dyDescent="0.2">
      <c r="A90" t="s">
        <v>857</v>
      </c>
      <c r="B90" t="s">
        <v>858</v>
      </c>
      <c r="C90" t="s">
        <v>857</v>
      </c>
      <c r="D90" t="b">
        <v>0</v>
      </c>
      <c r="E90" t="s">
        <v>728</v>
      </c>
      <c r="F90" t="s">
        <v>750</v>
      </c>
      <c r="G90" t="s">
        <v>614</v>
      </c>
      <c r="H90" t="s">
        <v>615</v>
      </c>
    </row>
    <row r="91" spans="1:8" x14ac:dyDescent="0.2">
      <c r="A91" t="s">
        <v>859</v>
      </c>
      <c r="B91" t="s">
        <v>860</v>
      </c>
      <c r="C91" t="s">
        <v>859</v>
      </c>
      <c r="D91" t="b">
        <v>0</v>
      </c>
      <c r="E91" t="s">
        <v>728</v>
      </c>
      <c r="F91" t="s">
        <v>750</v>
      </c>
      <c r="G91" t="s">
        <v>614</v>
      </c>
      <c r="H91" t="s">
        <v>615</v>
      </c>
    </row>
    <row r="92" spans="1:8" x14ac:dyDescent="0.2">
      <c r="A92" t="s">
        <v>869</v>
      </c>
      <c r="B92" t="s">
        <v>865</v>
      </c>
      <c r="C92" t="s">
        <v>869</v>
      </c>
      <c r="D92" t="b">
        <v>1</v>
      </c>
      <c r="E92" t="s">
        <v>728</v>
      </c>
      <c r="F92" t="s">
        <v>737</v>
      </c>
      <c r="G92" t="s">
        <v>614</v>
      </c>
      <c r="H92" t="s">
        <v>615</v>
      </c>
    </row>
    <row r="93" spans="1:8" x14ac:dyDescent="0.2">
      <c r="A93" t="s">
        <v>870</v>
      </c>
      <c r="B93" t="s">
        <v>866</v>
      </c>
      <c r="C93" t="s">
        <v>870</v>
      </c>
      <c r="D93" t="b">
        <v>1</v>
      </c>
      <c r="E93" t="s">
        <v>728</v>
      </c>
      <c r="F93" t="s">
        <v>737</v>
      </c>
      <c r="G93" t="s">
        <v>614</v>
      </c>
      <c r="H93" t="s">
        <v>615</v>
      </c>
    </row>
    <row r="94" spans="1:8" x14ac:dyDescent="0.2">
      <c r="A94" t="s">
        <v>871</v>
      </c>
      <c r="B94" t="s">
        <v>867</v>
      </c>
      <c r="C94" t="s">
        <v>871</v>
      </c>
      <c r="D94" t="b">
        <v>1</v>
      </c>
      <c r="E94" t="s">
        <v>728</v>
      </c>
      <c r="F94" t="s">
        <v>737</v>
      </c>
      <c r="G94" t="s">
        <v>614</v>
      </c>
      <c r="H94" t="s">
        <v>615</v>
      </c>
    </row>
    <row r="95" spans="1:8" x14ac:dyDescent="0.2">
      <c r="A95" t="s">
        <v>872</v>
      </c>
      <c r="B95" t="s">
        <v>868</v>
      </c>
      <c r="C95" t="s">
        <v>872</v>
      </c>
      <c r="D95" t="b">
        <v>1</v>
      </c>
      <c r="E95" t="s">
        <v>728</v>
      </c>
      <c r="F95" t="s">
        <v>737</v>
      </c>
      <c r="G95" t="s">
        <v>614</v>
      </c>
      <c r="H95" t="s">
        <v>615</v>
      </c>
    </row>
    <row r="96" spans="1:8" x14ac:dyDescent="0.2">
      <c r="A96" t="s">
        <v>873</v>
      </c>
      <c r="B96" t="s">
        <v>897</v>
      </c>
      <c r="C96" t="s">
        <v>873</v>
      </c>
      <c r="D96" t="b">
        <v>1</v>
      </c>
      <c r="E96" t="s">
        <v>728</v>
      </c>
      <c r="F96" t="s">
        <v>737</v>
      </c>
      <c r="G96" t="s">
        <v>614</v>
      </c>
      <c r="H96" t="s">
        <v>615</v>
      </c>
    </row>
    <row r="97" spans="1:8" x14ac:dyDescent="0.2">
      <c r="A97" t="s">
        <v>882</v>
      </c>
      <c r="B97" t="s">
        <v>874</v>
      </c>
      <c r="C97" t="s">
        <v>882</v>
      </c>
      <c r="D97" t="b">
        <v>0</v>
      </c>
      <c r="E97" t="s">
        <v>728</v>
      </c>
      <c r="F97" t="s">
        <v>750</v>
      </c>
      <c r="G97" t="s">
        <v>614</v>
      </c>
      <c r="H97" t="s">
        <v>615</v>
      </c>
    </row>
    <row r="98" spans="1:8" x14ac:dyDescent="0.2">
      <c r="A98" t="s">
        <v>883</v>
      </c>
      <c r="B98" t="s">
        <v>875</v>
      </c>
      <c r="C98" t="s">
        <v>883</v>
      </c>
      <c r="D98" t="b">
        <v>0</v>
      </c>
      <c r="E98" t="s">
        <v>728</v>
      </c>
      <c r="F98" t="s">
        <v>750</v>
      </c>
      <c r="G98" t="s">
        <v>614</v>
      </c>
      <c r="H98" t="s">
        <v>615</v>
      </c>
    </row>
    <row r="99" spans="1:8" x14ac:dyDescent="0.2">
      <c r="A99" t="s">
        <v>884</v>
      </c>
      <c r="B99" t="s">
        <v>876</v>
      </c>
      <c r="C99" t="s">
        <v>884</v>
      </c>
      <c r="D99" t="b">
        <v>0</v>
      </c>
      <c r="E99" t="s">
        <v>728</v>
      </c>
      <c r="F99" t="s">
        <v>750</v>
      </c>
      <c r="G99" t="s">
        <v>614</v>
      </c>
      <c r="H99" t="s">
        <v>615</v>
      </c>
    </row>
    <row r="100" spans="1:8" x14ac:dyDescent="0.2">
      <c r="A100" t="s">
        <v>885</v>
      </c>
      <c r="B100" t="s">
        <v>877</v>
      </c>
      <c r="C100" t="s">
        <v>885</v>
      </c>
      <c r="D100" t="b">
        <v>0</v>
      </c>
      <c r="E100" t="s">
        <v>728</v>
      </c>
      <c r="F100" t="s">
        <v>750</v>
      </c>
      <c r="G100" t="s">
        <v>614</v>
      </c>
      <c r="H100" t="s">
        <v>615</v>
      </c>
    </row>
    <row r="101" spans="1:8" x14ac:dyDescent="0.2">
      <c r="A101" t="s">
        <v>886</v>
      </c>
      <c r="B101" t="s">
        <v>878</v>
      </c>
      <c r="C101" t="s">
        <v>886</v>
      </c>
      <c r="D101" t="b">
        <v>0</v>
      </c>
      <c r="E101" t="s">
        <v>728</v>
      </c>
      <c r="F101" t="s">
        <v>750</v>
      </c>
      <c r="G101" t="s">
        <v>614</v>
      </c>
      <c r="H101" t="s">
        <v>615</v>
      </c>
    </row>
    <row r="102" spans="1:8" x14ac:dyDescent="0.2">
      <c r="A102" t="s">
        <v>887</v>
      </c>
      <c r="B102" t="s">
        <v>879</v>
      </c>
      <c r="C102" t="s">
        <v>887</v>
      </c>
      <c r="D102" t="b">
        <v>0</v>
      </c>
      <c r="E102" t="s">
        <v>728</v>
      </c>
      <c r="F102" t="s">
        <v>750</v>
      </c>
      <c r="G102" t="s">
        <v>614</v>
      </c>
      <c r="H102" t="s">
        <v>615</v>
      </c>
    </row>
    <row r="103" spans="1:8" x14ac:dyDescent="0.2">
      <c r="A103" t="s">
        <v>888</v>
      </c>
      <c r="B103" t="s">
        <v>880</v>
      </c>
      <c r="C103" t="s">
        <v>888</v>
      </c>
      <c r="D103" t="b">
        <v>0</v>
      </c>
      <c r="E103" t="s">
        <v>728</v>
      </c>
      <c r="F103" t="s">
        <v>750</v>
      </c>
      <c r="G103" t="s">
        <v>614</v>
      </c>
      <c r="H103" t="s">
        <v>615</v>
      </c>
    </row>
    <row r="104" spans="1:8" x14ac:dyDescent="0.2">
      <c r="A104" t="s">
        <v>889</v>
      </c>
      <c r="B104" t="s">
        <v>881</v>
      </c>
      <c r="C104" t="s">
        <v>889</v>
      </c>
      <c r="D104" t="b">
        <v>0</v>
      </c>
      <c r="E104" t="s">
        <v>728</v>
      </c>
      <c r="F104" t="s">
        <v>750</v>
      </c>
      <c r="G104" t="s">
        <v>614</v>
      </c>
      <c r="H104" t="s">
        <v>615</v>
      </c>
    </row>
    <row r="105" spans="1:8" x14ac:dyDescent="0.2">
      <c r="A105" t="s">
        <v>890</v>
      </c>
      <c r="B105" t="s">
        <v>894</v>
      </c>
      <c r="C105" t="s">
        <v>890</v>
      </c>
      <c r="D105" t="b">
        <v>0</v>
      </c>
      <c r="E105" t="s">
        <v>728</v>
      </c>
      <c r="F105" t="s">
        <v>750</v>
      </c>
      <c r="G105" t="s">
        <v>614</v>
      </c>
      <c r="H105" t="s">
        <v>615</v>
      </c>
    </row>
    <row r="106" spans="1:8" x14ac:dyDescent="0.2">
      <c r="A106" t="s">
        <v>891</v>
      </c>
      <c r="B106" t="s">
        <v>895</v>
      </c>
      <c r="C106" t="s">
        <v>891</v>
      </c>
      <c r="D106" t="b">
        <v>0</v>
      </c>
      <c r="E106" t="s">
        <v>728</v>
      </c>
      <c r="F106" t="s">
        <v>750</v>
      </c>
      <c r="G106" t="s">
        <v>614</v>
      </c>
      <c r="H106" t="s">
        <v>615</v>
      </c>
    </row>
    <row r="107" spans="1:8" x14ac:dyDescent="0.2">
      <c r="A107" t="s">
        <v>898</v>
      </c>
      <c r="B107" t="s">
        <v>899</v>
      </c>
      <c r="C107" t="s">
        <v>898</v>
      </c>
      <c r="D107" t="b">
        <v>1</v>
      </c>
      <c r="E107" s="111" t="s">
        <v>728</v>
      </c>
      <c r="F107" s="111" t="s">
        <v>737</v>
      </c>
      <c r="G107" t="s">
        <v>614</v>
      </c>
      <c r="H107" t="s">
        <v>615</v>
      </c>
    </row>
    <row r="108" spans="1:8" x14ac:dyDescent="0.2">
      <c r="A108" s="111" t="s">
        <v>901</v>
      </c>
      <c r="B108" t="s">
        <v>902</v>
      </c>
      <c r="C108" s="111" t="s">
        <v>901</v>
      </c>
      <c r="D108" t="b">
        <v>0</v>
      </c>
      <c r="E108" s="111" t="s">
        <v>728</v>
      </c>
      <c r="F108" t="s">
        <v>750</v>
      </c>
      <c r="G108" t="s">
        <v>614</v>
      </c>
      <c r="H108" t="s">
        <v>615</v>
      </c>
    </row>
    <row r="109" spans="1:8" x14ac:dyDescent="0.2">
      <c r="A109" s="111" t="s">
        <v>904</v>
      </c>
      <c r="B109" s="111" t="s">
        <v>903</v>
      </c>
      <c r="C109" s="111" t="s">
        <v>904</v>
      </c>
      <c r="D109" t="b">
        <v>0</v>
      </c>
      <c r="E109" s="111" t="s">
        <v>728</v>
      </c>
      <c r="F109" t="s">
        <v>750</v>
      </c>
      <c r="G109" t="s">
        <v>614</v>
      </c>
      <c r="H109" t="s">
        <v>615</v>
      </c>
    </row>
    <row r="110" spans="1:8" x14ac:dyDescent="0.2">
      <c r="A110" t="s">
        <v>905</v>
      </c>
      <c r="B110" s="111" t="s">
        <v>906</v>
      </c>
      <c r="C110" t="s">
        <v>905</v>
      </c>
      <c r="D110" t="b">
        <v>1</v>
      </c>
      <c r="E110" s="111" t="s">
        <v>728</v>
      </c>
      <c r="F110" s="111" t="s">
        <v>729</v>
      </c>
      <c r="G110" s="111" t="s">
        <v>907</v>
      </c>
      <c r="H110" t="s">
        <v>615</v>
      </c>
    </row>
    <row r="111" spans="1:8" x14ac:dyDescent="0.2">
      <c r="A111" t="s">
        <v>911</v>
      </c>
      <c r="B111" t="s">
        <v>912</v>
      </c>
      <c r="C111" t="s">
        <v>911</v>
      </c>
      <c r="D111" t="b">
        <v>0</v>
      </c>
      <c r="E111" t="s">
        <v>728</v>
      </c>
      <c r="F111" t="s">
        <v>750</v>
      </c>
      <c r="G111" t="s">
        <v>614</v>
      </c>
      <c r="H111" t="s">
        <v>615</v>
      </c>
    </row>
    <row r="112" spans="1:8" x14ac:dyDescent="0.2">
      <c r="A112" t="s">
        <v>911</v>
      </c>
      <c r="B112" t="s">
        <v>913</v>
      </c>
      <c r="C112" t="s">
        <v>911</v>
      </c>
      <c r="D112" t="b">
        <v>0</v>
      </c>
      <c r="E112" t="s">
        <v>728</v>
      </c>
      <c r="F112" t="s">
        <v>750</v>
      </c>
      <c r="G112" t="s">
        <v>614</v>
      </c>
      <c r="H112" t="s">
        <v>615</v>
      </c>
    </row>
    <row r="113" spans="1:8" x14ac:dyDescent="0.2">
      <c r="A113" t="s">
        <v>914</v>
      </c>
      <c r="B113" t="s">
        <v>915</v>
      </c>
      <c r="C113" t="s">
        <v>914</v>
      </c>
      <c r="D113" t="b">
        <v>0</v>
      </c>
      <c r="E113" t="s">
        <v>728</v>
      </c>
      <c r="F113" t="s">
        <v>750</v>
      </c>
      <c r="G113" t="s">
        <v>614</v>
      </c>
      <c r="H113" t="s">
        <v>615</v>
      </c>
    </row>
    <row r="114" spans="1:8" x14ac:dyDescent="0.2">
      <c r="A114" t="s">
        <v>914</v>
      </c>
      <c r="B114" t="s">
        <v>916</v>
      </c>
      <c r="C114" t="s">
        <v>914</v>
      </c>
      <c r="D114" t="b">
        <v>0</v>
      </c>
      <c r="E114" t="s">
        <v>728</v>
      </c>
      <c r="F114" t="s">
        <v>750</v>
      </c>
      <c r="G114" t="s">
        <v>614</v>
      </c>
      <c r="H114" t="s">
        <v>615</v>
      </c>
    </row>
    <row r="115" spans="1:8" x14ac:dyDescent="0.2">
      <c r="A115" t="s">
        <v>917</v>
      </c>
      <c r="B115" t="s">
        <v>918</v>
      </c>
      <c r="C115" t="s">
        <v>917</v>
      </c>
      <c r="D115" t="b">
        <v>0</v>
      </c>
      <c r="E115" t="s">
        <v>728</v>
      </c>
      <c r="F115" t="s">
        <v>750</v>
      </c>
      <c r="G115" t="s">
        <v>614</v>
      </c>
      <c r="H115" t="s">
        <v>615</v>
      </c>
    </row>
    <row r="116" spans="1:8" x14ac:dyDescent="0.2">
      <c r="A116" t="s">
        <v>917</v>
      </c>
      <c r="B116" t="s">
        <v>919</v>
      </c>
      <c r="C116" t="s">
        <v>917</v>
      </c>
      <c r="D116" t="b">
        <v>0</v>
      </c>
      <c r="E116" t="s">
        <v>728</v>
      </c>
      <c r="F116" t="s">
        <v>750</v>
      </c>
      <c r="G116" t="s">
        <v>614</v>
      </c>
      <c r="H116" t="s">
        <v>615</v>
      </c>
    </row>
    <row r="117" spans="1:8" x14ac:dyDescent="0.2">
      <c r="A117" t="s">
        <v>920</v>
      </c>
      <c r="B117" t="s">
        <v>932</v>
      </c>
      <c r="C117" t="s">
        <v>920</v>
      </c>
      <c r="D117" t="b">
        <v>0</v>
      </c>
      <c r="E117" t="s">
        <v>728</v>
      </c>
      <c r="F117" t="s">
        <v>750</v>
      </c>
      <c r="G117" t="s">
        <v>614</v>
      </c>
      <c r="H117" t="s">
        <v>615</v>
      </c>
    </row>
    <row r="118" spans="1:8" x14ac:dyDescent="0.2">
      <c r="A118" t="s">
        <v>920</v>
      </c>
      <c r="B118" t="s">
        <v>933</v>
      </c>
      <c r="C118" t="s">
        <v>920</v>
      </c>
      <c r="D118" t="b">
        <v>0</v>
      </c>
      <c r="E118" t="s">
        <v>728</v>
      </c>
      <c r="F118" t="s">
        <v>750</v>
      </c>
      <c r="G118" t="s">
        <v>614</v>
      </c>
      <c r="H118" t="s">
        <v>615</v>
      </c>
    </row>
    <row r="119" spans="1:8" x14ac:dyDescent="0.2">
      <c r="A119" t="s">
        <v>921</v>
      </c>
      <c r="B119" t="s">
        <v>922</v>
      </c>
      <c r="C119" t="s">
        <v>921</v>
      </c>
      <c r="D119" t="b">
        <v>1</v>
      </c>
      <c r="E119" t="s">
        <v>728</v>
      </c>
      <c r="F119" t="s">
        <v>737</v>
      </c>
      <c r="G119" t="s">
        <v>614</v>
      </c>
      <c r="H119" t="s">
        <v>615</v>
      </c>
    </row>
    <row r="120" spans="1:8" x14ac:dyDescent="0.2">
      <c r="A120" t="s">
        <v>923</v>
      </c>
      <c r="B120" t="s">
        <v>924</v>
      </c>
      <c r="C120" t="s">
        <v>923</v>
      </c>
      <c r="D120" t="b">
        <v>1</v>
      </c>
      <c r="E120" t="s">
        <v>728</v>
      </c>
      <c r="F120" t="s">
        <v>737</v>
      </c>
      <c r="G120" t="s">
        <v>614</v>
      </c>
      <c r="H120" t="s">
        <v>615</v>
      </c>
    </row>
    <row r="121" spans="1:8" x14ac:dyDescent="0.2">
      <c r="A121" t="s">
        <v>925</v>
      </c>
      <c r="B121" t="s">
        <v>926</v>
      </c>
      <c r="C121" t="s">
        <v>925</v>
      </c>
      <c r="D121" t="b">
        <v>1</v>
      </c>
      <c r="E121" t="s">
        <v>728</v>
      </c>
      <c r="F121" t="s">
        <v>737</v>
      </c>
      <c r="G121" t="s">
        <v>614</v>
      </c>
      <c r="H121" t="s">
        <v>615</v>
      </c>
    </row>
    <row r="122" spans="1:8" x14ac:dyDescent="0.2">
      <c r="A122" t="s">
        <v>927</v>
      </c>
      <c r="B122" t="s">
        <v>931</v>
      </c>
      <c r="C122" t="s">
        <v>927</v>
      </c>
      <c r="D122" t="b">
        <v>1</v>
      </c>
      <c r="E122" t="s">
        <v>728</v>
      </c>
      <c r="F122" t="s">
        <v>737</v>
      </c>
      <c r="G122" t="s">
        <v>614</v>
      </c>
      <c r="H122" t="s">
        <v>615</v>
      </c>
    </row>
    <row r="123" spans="1:8" x14ac:dyDescent="0.2">
      <c r="A123" t="s">
        <v>938</v>
      </c>
      <c r="B123" t="s">
        <v>948</v>
      </c>
      <c r="C123" t="s">
        <v>938</v>
      </c>
      <c r="D123" t="b">
        <v>1</v>
      </c>
      <c r="E123" t="s">
        <v>728</v>
      </c>
      <c r="F123" t="s">
        <v>737</v>
      </c>
      <c r="G123" t="s">
        <v>614</v>
      </c>
      <c r="H123" t="s">
        <v>615</v>
      </c>
    </row>
    <row r="124" spans="1:8" x14ac:dyDescent="0.2">
      <c r="A124" t="s">
        <v>939</v>
      </c>
      <c r="B124" t="s">
        <v>949</v>
      </c>
      <c r="C124" t="s">
        <v>939</v>
      </c>
      <c r="D124" t="b">
        <v>1</v>
      </c>
      <c r="E124" t="s">
        <v>728</v>
      </c>
      <c r="F124" t="s">
        <v>737</v>
      </c>
      <c r="G124" t="s">
        <v>614</v>
      </c>
      <c r="H124" t="s">
        <v>615</v>
      </c>
    </row>
    <row r="125" spans="1:8" x14ac:dyDescent="0.2">
      <c r="A125" t="s">
        <v>940</v>
      </c>
      <c r="B125" t="s">
        <v>936</v>
      </c>
      <c r="C125" t="s">
        <v>940</v>
      </c>
      <c r="D125" t="b">
        <v>1</v>
      </c>
      <c r="E125" t="s">
        <v>728</v>
      </c>
      <c r="F125" t="s">
        <v>737</v>
      </c>
      <c r="G125" t="s">
        <v>614</v>
      </c>
      <c r="H125" t="s">
        <v>615</v>
      </c>
    </row>
    <row r="126" spans="1:8" x14ac:dyDescent="0.2">
      <c r="A126" t="s">
        <v>941</v>
      </c>
      <c r="B126" t="s">
        <v>937</v>
      </c>
      <c r="C126" t="s">
        <v>941</v>
      </c>
      <c r="D126" t="b">
        <v>1</v>
      </c>
      <c r="E126" t="s">
        <v>728</v>
      </c>
      <c r="F126" t="s">
        <v>737</v>
      </c>
      <c r="G126" t="s">
        <v>614</v>
      </c>
      <c r="H126" t="s">
        <v>615</v>
      </c>
    </row>
    <row r="127" spans="1:8" x14ac:dyDescent="0.2">
      <c r="A127" t="s">
        <v>938</v>
      </c>
      <c r="B127" t="s">
        <v>950</v>
      </c>
      <c r="C127" t="s">
        <v>938</v>
      </c>
      <c r="D127" t="b">
        <v>0</v>
      </c>
      <c r="E127" t="s">
        <v>728</v>
      </c>
      <c r="F127" t="s">
        <v>750</v>
      </c>
      <c r="G127" t="s">
        <v>614</v>
      </c>
      <c r="H127" t="s">
        <v>615</v>
      </c>
    </row>
    <row r="128" spans="1:8" x14ac:dyDescent="0.2">
      <c r="A128" t="s">
        <v>939</v>
      </c>
      <c r="B128" t="s">
        <v>951</v>
      </c>
      <c r="C128" t="s">
        <v>939</v>
      </c>
      <c r="D128" t="b">
        <v>0</v>
      </c>
      <c r="E128" t="s">
        <v>728</v>
      </c>
      <c r="F128" t="s">
        <v>750</v>
      </c>
      <c r="G128" t="s">
        <v>614</v>
      </c>
      <c r="H128" t="s">
        <v>615</v>
      </c>
    </row>
    <row r="129" spans="1:8" x14ac:dyDescent="0.2">
      <c r="A129" t="s">
        <v>940</v>
      </c>
      <c r="B129" t="s">
        <v>942</v>
      </c>
      <c r="C129" t="s">
        <v>940</v>
      </c>
      <c r="D129" t="b">
        <v>0</v>
      </c>
      <c r="E129" t="s">
        <v>728</v>
      </c>
      <c r="F129" t="s">
        <v>750</v>
      </c>
      <c r="G129" t="s">
        <v>614</v>
      </c>
      <c r="H129" t="s">
        <v>615</v>
      </c>
    </row>
    <row r="130" spans="1:8" x14ac:dyDescent="0.2">
      <c r="A130" t="s">
        <v>941</v>
      </c>
      <c r="B130" t="s">
        <v>943</v>
      </c>
      <c r="C130" t="s">
        <v>941</v>
      </c>
      <c r="D130" t="b">
        <v>0</v>
      </c>
      <c r="E130" t="s">
        <v>728</v>
      </c>
      <c r="F130" t="s">
        <v>750</v>
      </c>
      <c r="G130" t="s">
        <v>614</v>
      </c>
      <c r="H130" t="s">
        <v>615</v>
      </c>
    </row>
    <row r="131" spans="1:8" x14ac:dyDescent="0.2">
      <c r="A131" t="s">
        <v>967</v>
      </c>
      <c r="B131" t="s">
        <v>958</v>
      </c>
      <c r="C131" t="s">
        <v>967</v>
      </c>
      <c r="D131" t="b">
        <v>1</v>
      </c>
      <c r="E131" t="s">
        <v>728</v>
      </c>
      <c r="F131" t="s">
        <v>737</v>
      </c>
      <c r="G131" t="s">
        <v>614</v>
      </c>
      <c r="H131" t="s">
        <v>615</v>
      </c>
    </row>
    <row r="132" spans="1:8" x14ac:dyDescent="0.2">
      <c r="A132" t="s">
        <v>968</v>
      </c>
      <c r="B132" t="s">
        <v>960</v>
      </c>
      <c r="C132" t="s">
        <v>968</v>
      </c>
      <c r="D132" t="b">
        <v>1</v>
      </c>
      <c r="E132" t="s">
        <v>728</v>
      </c>
      <c r="F132" t="s">
        <v>737</v>
      </c>
      <c r="G132" t="s">
        <v>614</v>
      </c>
      <c r="H132" t="s">
        <v>615</v>
      </c>
    </row>
    <row r="133" spans="1:8" x14ac:dyDescent="0.2">
      <c r="A133" t="s">
        <v>969</v>
      </c>
      <c r="B133" t="s">
        <v>962</v>
      </c>
      <c r="C133" t="s">
        <v>969</v>
      </c>
      <c r="D133" t="b">
        <v>1</v>
      </c>
      <c r="E133" t="s">
        <v>728</v>
      </c>
      <c r="F133" t="s">
        <v>737</v>
      </c>
      <c r="G133" t="s">
        <v>614</v>
      </c>
      <c r="H133" t="s">
        <v>615</v>
      </c>
    </row>
    <row r="134" spans="1:8" x14ac:dyDescent="0.2">
      <c r="A134" t="s">
        <v>970</v>
      </c>
      <c r="B134" t="s">
        <v>964</v>
      </c>
      <c r="C134" t="s">
        <v>970</v>
      </c>
      <c r="D134" t="b">
        <v>1</v>
      </c>
      <c r="E134" t="s">
        <v>728</v>
      </c>
      <c r="F134" t="s">
        <v>737</v>
      </c>
      <c r="G134" t="s">
        <v>614</v>
      </c>
      <c r="H134" t="s">
        <v>615</v>
      </c>
    </row>
    <row r="135" spans="1:8" x14ac:dyDescent="0.2">
      <c r="A135" t="s">
        <v>971</v>
      </c>
      <c r="B135" t="s">
        <v>966</v>
      </c>
      <c r="C135" t="s">
        <v>971</v>
      </c>
      <c r="D135" t="b">
        <v>1</v>
      </c>
      <c r="E135" t="s">
        <v>728</v>
      </c>
      <c r="F135" t="s">
        <v>737</v>
      </c>
      <c r="G135" t="s">
        <v>614</v>
      </c>
      <c r="H135" t="s">
        <v>615</v>
      </c>
    </row>
    <row r="136" spans="1:8" x14ac:dyDescent="0.2">
      <c r="A136" t="s">
        <v>957</v>
      </c>
      <c r="B136" t="s">
        <v>972</v>
      </c>
      <c r="C136" t="s">
        <v>957</v>
      </c>
      <c r="D136" t="b">
        <v>0</v>
      </c>
      <c r="E136" t="s">
        <v>728</v>
      </c>
      <c r="F136" t="s">
        <v>750</v>
      </c>
      <c r="G136" t="s">
        <v>614</v>
      </c>
      <c r="H136" t="s">
        <v>615</v>
      </c>
    </row>
    <row r="137" spans="1:8" x14ac:dyDescent="0.2">
      <c r="A137" t="s">
        <v>957</v>
      </c>
      <c r="B137" t="s">
        <v>973</v>
      </c>
      <c r="C137" t="s">
        <v>957</v>
      </c>
      <c r="D137" t="b">
        <v>0</v>
      </c>
      <c r="E137" t="s">
        <v>728</v>
      </c>
      <c r="F137" t="s">
        <v>750</v>
      </c>
      <c r="G137" t="s">
        <v>614</v>
      </c>
      <c r="H137" t="s">
        <v>615</v>
      </c>
    </row>
    <row r="138" spans="1:8" x14ac:dyDescent="0.2">
      <c r="A138" t="s">
        <v>957</v>
      </c>
      <c r="B138" t="s">
        <v>974</v>
      </c>
      <c r="C138" t="s">
        <v>957</v>
      </c>
      <c r="D138" t="b">
        <v>0</v>
      </c>
      <c r="E138" t="s">
        <v>728</v>
      </c>
      <c r="F138" t="s">
        <v>750</v>
      </c>
      <c r="G138" t="s">
        <v>614</v>
      </c>
      <c r="H138" t="s">
        <v>615</v>
      </c>
    </row>
    <row r="139" spans="1:8" x14ac:dyDescent="0.2">
      <c r="A139" t="s">
        <v>959</v>
      </c>
      <c r="B139" t="s">
        <v>975</v>
      </c>
      <c r="C139" t="s">
        <v>959</v>
      </c>
      <c r="D139" t="b">
        <v>0</v>
      </c>
      <c r="E139" t="s">
        <v>728</v>
      </c>
      <c r="F139" t="s">
        <v>750</v>
      </c>
      <c r="G139" t="s">
        <v>614</v>
      </c>
      <c r="H139" t="s">
        <v>615</v>
      </c>
    </row>
    <row r="140" spans="1:8" x14ac:dyDescent="0.2">
      <c r="A140" t="s">
        <v>959</v>
      </c>
      <c r="B140" t="s">
        <v>976</v>
      </c>
      <c r="C140" t="s">
        <v>959</v>
      </c>
      <c r="D140" t="b">
        <v>0</v>
      </c>
      <c r="E140" t="s">
        <v>728</v>
      </c>
      <c r="F140" t="s">
        <v>750</v>
      </c>
      <c r="G140" t="s">
        <v>614</v>
      </c>
      <c r="H140" t="s">
        <v>615</v>
      </c>
    </row>
    <row r="141" spans="1:8" x14ac:dyDescent="0.2">
      <c r="A141" t="s">
        <v>959</v>
      </c>
      <c r="B141" t="s">
        <v>977</v>
      </c>
      <c r="C141" t="s">
        <v>959</v>
      </c>
      <c r="D141" t="b">
        <v>0</v>
      </c>
      <c r="E141" t="s">
        <v>728</v>
      </c>
      <c r="F141" t="s">
        <v>750</v>
      </c>
      <c r="G141" t="s">
        <v>614</v>
      </c>
      <c r="H141" t="s">
        <v>615</v>
      </c>
    </row>
    <row r="142" spans="1:8" x14ac:dyDescent="0.2">
      <c r="A142" t="s">
        <v>961</v>
      </c>
      <c r="B142" t="s">
        <v>978</v>
      </c>
      <c r="C142" t="s">
        <v>961</v>
      </c>
      <c r="D142" t="b">
        <v>0</v>
      </c>
      <c r="E142" t="s">
        <v>728</v>
      </c>
      <c r="F142" t="s">
        <v>750</v>
      </c>
      <c r="G142" t="s">
        <v>614</v>
      </c>
      <c r="H142" t="s">
        <v>615</v>
      </c>
    </row>
    <row r="143" spans="1:8" x14ac:dyDescent="0.2">
      <c r="A143" t="s">
        <v>961</v>
      </c>
      <c r="B143" t="s">
        <v>979</v>
      </c>
      <c r="C143" t="s">
        <v>961</v>
      </c>
      <c r="D143" t="b">
        <v>0</v>
      </c>
      <c r="E143" t="s">
        <v>728</v>
      </c>
      <c r="F143" t="s">
        <v>750</v>
      </c>
      <c r="G143" t="s">
        <v>614</v>
      </c>
      <c r="H143" t="s">
        <v>615</v>
      </c>
    </row>
    <row r="144" spans="1:8" x14ac:dyDescent="0.2">
      <c r="A144" t="s">
        <v>961</v>
      </c>
      <c r="B144" t="s">
        <v>980</v>
      </c>
      <c r="C144" t="s">
        <v>961</v>
      </c>
      <c r="D144" t="b">
        <v>0</v>
      </c>
      <c r="E144" t="s">
        <v>728</v>
      </c>
      <c r="F144" t="s">
        <v>750</v>
      </c>
      <c r="G144" t="s">
        <v>614</v>
      </c>
      <c r="H144" t="s">
        <v>615</v>
      </c>
    </row>
    <row r="145" spans="1:8" x14ac:dyDescent="0.2">
      <c r="A145" t="s">
        <v>963</v>
      </c>
      <c r="B145" t="s">
        <v>981</v>
      </c>
      <c r="C145" t="s">
        <v>963</v>
      </c>
      <c r="D145" t="b">
        <v>0</v>
      </c>
      <c r="E145" t="s">
        <v>728</v>
      </c>
      <c r="F145" t="s">
        <v>750</v>
      </c>
      <c r="G145" t="s">
        <v>614</v>
      </c>
      <c r="H145" t="s">
        <v>615</v>
      </c>
    </row>
    <row r="146" spans="1:8" x14ac:dyDescent="0.2">
      <c r="A146" t="s">
        <v>963</v>
      </c>
      <c r="B146" t="s">
        <v>982</v>
      </c>
      <c r="C146" t="s">
        <v>963</v>
      </c>
      <c r="D146" t="b">
        <v>0</v>
      </c>
      <c r="E146" t="s">
        <v>728</v>
      </c>
      <c r="F146" t="s">
        <v>750</v>
      </c>
      <c r="G146" t="s">
        <v>614</v>
      </c>
      <c r="H146" t="s">
        <v>615</v>
      </c>
    </row>
    <row r="147" spans="1:8" x14ac:dyDescent="0.2">
      <c r="A147" t="s">
        <v>963</v>
      </c>
      <c r="B147" t="s">
        <v>983</v>
      </c>
      <c r="C147" t="s">
        <v>963</v>
      </c>
      <c r="D147" t="b">
        <v>0</v>
      </c>
      <c r="E147" t="s">
        <v>728</v>
      </c>
      <c r="F147" t="s">
        <v>750</v>
      </c>
      <c r="G147" t="s">
        <v>614</v>
      </c>
      <c r="H147" t="s">
        <v>615</v>
      </c>
    </row>
    <row r="148" spans="1:8" x14ac:dyDescent="0.2">
      <c r="A148" t="s">
        <v>965</v>
      </c>
      <c r="B148" t="s">
        <v>984</v>
      </c>
      <c r="C148" t="s">
        <v>965</v>
      </c>
      <c r="D148" t="b">
        <v>0</v>
      </c>
      <c r="E148" t="s">
        <v>728</v>
      </c>
      <c r="F148" t="s">
        <v>750</v>
      </c>
      <c r="G148" t="s">
        <v>614</v>
      </c>
      <c r="H148" t="s">
        <v>615</v>
      </c>
    </row>
    <row r="149" spans="1:8" x14ac:dyDescent="0.2">
      <c r="A149" t="s">
        <v>965</v>
      </c>
      <c r="B149" t="s">
        <v>985</v>
      </c>
      <c r="C149" t="s">
        <v>965</v>
      </c>
      <c r="D149" t="b">
        <v>0</v>
      </c>
      <c r="E149" t="s">
        <v>728</v>
      </c>
      <c r="F149" t="s">
        <v>750</v>
      </c>
      <c r="G149" t="s">
        <v>614</v>
      </c>
      <c r="H149" t="s">
        <v>615</v>
      </c>
    </row>
    <row r="150" spans="1:8" x14ac:dyDescent="0.2">
      <c r="A150" t="s">
        <v>965</v>
      </c>
      <c r="B150" t="s">
        <v>986</v>
      </c>
      <c r="C150" t="s">
        <v>965</v>
      </c>
      <c r="D150" t="b">
        <v>0</v>
      </c>
      <c r="E150" t="s">
        <v>728</v>
      </c>
      <c r="F150" t="s">
        <v>750</v>
      </c>
      <c r="G150" t="s">
        <v>614</v>
      </c>
      <c r="H150" t="s">
        <v>615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Main</vt:lpstr>
      <vt:lpstr>Data</vt:lpstr>
      <vt:lpstr>Info</vt:lpstr>
      <vt:lpstr>QATrack_Main</vt:lpstr>
      <vt:lpstr>QATrack_Data</vt:lpstr>
      <vt:lpstr>QATrack_Definitions</vt:lpstr>
      <vt:lpstr>QATrack_Data!List_Electrometers</vt:lpstr>
      <vt:lpstr>QATrack_Definitions!List_Electrometers</vt:lpstr>
      <vt:lpstr>List_Electrometers</vt:lpstr>
      <vt:lpstr>QATrack_Data!List_Farmer_Probes</vt:lpstr>
      <vt:lpstr>QATrack_Definitions!List_Farmer_Probes</vt:lpstr>
      <vt:lpstr>List_Farmer_Probes</vt:lpstr>
      <vt:lpstr>QATrack_Data!List_Machine</vt:lpstr>
      <vt:lpstr>QATrack_Definitions!List_Machine</vt:lpstr>
      <vt:lpstr>List_Machine</vt:lpstr>
      <vt:lpstr>QATrack_Data!List_Markus_Probes</vt:lpstr>
      <vt:lpstr>QATrack_Definitions!List_Markus_Probes</vt:lpstr>
      <vt:lpstr>List_Markus_Probes</vt:lpstr>
      <vt:lpstr>QATrack_Data!List_Month</vt:lpstr>
      <vt:lpstr>QATrack_Definitions!List_Month</vt:lpstr>
      <vt:lpstr>List_Month</vt:lpstr>
      <vt:lpstr>QATrack_Data!List_Personnel</vt:lpstr>
      <vt:lpstr>QATrack_Definitions!List_Personnel</vt:lpstr>
      <vt:lpstr>List_Personnel</vt:lpstr>
      <vt:lpstr>QATrack_Data!List_Status1</vt:lpstr>
      <vt:lpstr>QATrack_Definitions!List_Status1</vt:lpstr>
      <vt:lpstr>List_Status1</vt:lpstr>
      <vt:lpstr>QATrack_Data!List_Status2</vt:lpstr>
      <vt:lpstr>QATrack_Definitions!List_Status2</vt:lpstr>
      <vt:lpstr>List_Status2</vt:lpstr>
      <vt:lpstr>QATrack_Data!List_Status3</vt:lpstr>
      <vt:lpstr>QATrack_Definitions!List_Status3</vt:lpstr>
      <vt:lpstr>List_Status3</vt:lpstr>
      <vt:lpstr>QATrack_Data!List_Status4</vt:lpstr>
      <vt:lpstr>QATrack_Definitions!List_Status4</vt:lpstr>
      <vt:lpstr>List_Status4</vt:lpstr>
      <vt:lpstr>QATrack_Data!List_Student</vt:lpstr>
      <vt:lpstr>QATrack_Definitions!List_Student</vt:lpstr>
      <vt:lpstr>List_Student</vt:lpstr>
      <vt:lpstr>QATrack_Data!List_Year</vt:lpstr>
      <vt:lpstr>QATrack_Definitions!List_Year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2023-08-23T20:08:28Z</dcterms:modified>
</cp:coreProperties>
</file>