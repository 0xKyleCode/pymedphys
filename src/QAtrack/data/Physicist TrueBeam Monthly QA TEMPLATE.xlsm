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Physics\VICC\QA\Worksheets\DRAFTS\"/>
    </mc:Choice>
  </mc:AlternateContent>
  <bookViews>
    <workbookView xWindow="32760" yWindow="32760" windowWidth="28800" windowHeight="12225"/>
  </bookViews>
  <sheets>
    <sheet name="Main" sheetId="1" r:id="rId1"/>
    <sheet name="Data" sheetId="3" r:id="rId2"/>
    <sheet name="Info" sheetId="2" r:id="rId3"/>
  </sheets>
  <definedNames>
    <definedName name="List_Electrometers">Data!$M$31:$M$35</definedName>
    <definedName name="List_Farmer_Probes">Data!$A$31:$A$36</definedName>
    <definedName name="List_Machine">Data!$A$21:$A$26</definedName>
    <definedName name="List_Markus_Probes">Data!$G$31:$G$34</definedName>
    <definedName name="List_Month">Data!$C$2:$C$13</definedName>
    <definedName name="List_Personnel">Data!$A$2:$A$14</definedName>
    <definedName name="List_Status1">Data!$M$2:$M$4</definedName>
    <definedName name="List_Status2">Data!$O$2:$O$3</definedName>
    <definedName name="List_Status3">Data!$Q$2:$Q$3</definedName>
    <definedName name="List_Status4">Data!$S$2:$S$3</definedName>
    <definedName name="List_Student">Data!$U$2:$U$7</definedName>
    <definedName name="List_Year">Data!$D$2:$D$13</definedName>
    <definedName name="_xlnm.Print_Area" localSheetId="0">Main!$B$10:$M$381</definedName>
    <definedName name="Z_FA2D1B4E_F89E_4C35_9D43_0653EC39ACA4_.wvu.PrintArea" localSheetId="0" hidden="1">Main!$B$10:$M$381</definedName>
  </definedNames>
  <calcPr calcId="162913" iterate="1" iterateCount="1"/>
  <customWorkbookViews>
    <customWorkbookView name="dwells - Personal View" guid="{FA2D1B4E-F89E-4C35-9D43-0653EC39ACA4}" mergeInterval="0" personalView="1" maximized="1" xWindow="1" yWindow="1" windowWidth="1524" windowHeight="881" activeSheetId="1"/>
  </customWorkbookViews>
</workbook>
</file>

<file path=xl/calcChain.xml><?xml version="1.0" encoding="utf-8"?>
<calcChain xmlns="http://schemas.openxmlformats.org/spreadsheetml/2006/main">
  <c r="G208" i="1" l="1"/>
  <c r="G200" i="1"/>
  <c r="G192" i="1"/>
  <c r="G176" i="1"/>
  <c r="G164" i="1"/>
  <c r="G149" i="1"/>
  <c r="G139" i="1"/>
  <c r="G124" i="1"/>
  <c r="I235" i="1"/>
  <c r="H13" i="1"/>
  <c r="D120" i="1"/>
  <c r="D119" i="1"/>
  <c r="D118" i="1"/>
  <c r="D117" i="1"/>
  <c r="D116" i="1"/>
  <c r="D50" i="1"/>
  <c r="D49" i="1"/>
  <c r="D48" i="1"/>
  <c r="D47" i="1"/>
  <c r="J37" i="1"/>
  <c r="K34" i="3"/>
  <c r="K33" i="3"/>
  <c r="K32" i="3"/>
  <c r="K31" i="3"/>
  <c r="E36" i="3"/>
  <c r="E35" i="3"/>
  <c r="E34" i="3"/>
  <c r="E33" i="3"/>
  <c r="E32" i="3"/>
  <c r="E31" i="3"/>
  <c r="J214" i="1"/>
  <c r="L368" i="1"/>
  <c r="L329" i="1"/>
  <c r="L328" i="1"/>
  <c r="I101" i="1"/>
  <c r="F368" i="1"/>
  <c r="H338" i="1"/>
  <c r="H337" i="1"/>
  <c r="I328" i="1"/>
  <c r="K328" i="1"/>
  <c r="G328" i="1"/>
  <c r="J252" i="1"/>
  <c r="H252" i="1"/>
  <c r="F252" i="1"/>
  <c r="I214" i="1"/>
  <c r="G214" i="1"/>
  <c r="E214" i="1"/>
  <c r="J107" i="1"/>
  <c r="I100" i="1"/>
  <c r="I99" i="1"/>
  <c r="I98" i="1"/>
  <c r="J88" i="1"/>
  <c r="J87" i="1"/>
  <c r="J86" i="1"/>
  <c r="J85" i="1"/>
  <c r="J72" i="1"/>
  <c r="J66" i="1"/>
  <c r="J65" i="1"/>
  <c r="J64" i="1"/>
  <c r="J63" i="1"/>
  <c r="J62" i="1"/>
  <c r="I57" i="1"/>
  <c r="I56" i="1"/>
  <c r="I55" i="1"/>
  <c r="H47" i="1"/>
  <c r="E64" i="1" s="1"/>
  <c r="H65" i="3"/>
  <c r="H64" i="3"/>
  <c r="H63" i="3"/>
  <c r="H62" i="3"/>
  <c r="L2" i="3"/>
  <c r="E9" i="3" s="1"/>
  <c r="J338" i="1"/>
  <c r="J337" i="1"/>
  <c r="H120" i="1"/>
  <c r="H119" i="1"/>
  <c r="H118" i="1"/>
  <c r="H117" i="1"/>
  <c r="J263" i="1"/>
  <c r="G232" i="1"/>
  <c r="G231" i="1"/>
  <c r="G230" i="1"/>
  <c r="E378" i="1"/>
  <c r="E377" i="1"/>
  <c r="G216" i="1"/>
  <c r="F74" i="1"/>
  <c r="F69" i="1"/>
  <c r="F59" i="1"/>
  <c r="F103" i="1"/>
  <c r="J305" i="1" a="1"/>
  <c r="J305" i="1" s="1"/>
  <c r="J105" i="1"/>
  <c r="L11" i="1"/>
  <c r="G373" i="1"/>
  <c r="L373" i="1" s="1"/>
  <c r="G372" i="1"/>
  <c r="L372" i="1" s="1"/>
  <c r="L364" i="1"/>
  <c r="L363" i="1"/>
  <c r="L362" i="1"/>
  <c r="L361" i="1"/>
  <c r="L357" i="1"/>
  <c r="L356" i="1"/>
  <c r="L355" i="1"/>
  <c r="I227" i="1" a="1"/>
  <c r="I227" i="1" s="1"/>
  <c r="H227" i="1" a="1"/>
  <c r="H227" i="1" s="1"/>
  <c r="G227" i="1" a="1"/>
  <c r="G227" i="1" s="1"/>
  <c r="F227" i="1" a="1"/>
  <c r="F227" i="1" s="1"/>
  <c r="E227" i="1" a="1"/>
  <c r="E227" i="1" s="1"/>
  <c r="K170" i="1" a="1"/>
  <c r="K170" i="1" s="1"/>
  <c r="J35" i="1"/>
  <c r="J47" i="1"/>
  <c r="L47" i="1"/>
  <c r="H48" i="1"/>
  <c r="D86" i="1" s="1"/>
  <c r="J48" i="1"/>
  <c r="L48" i="1"/>
  <c r="H49" i="1"/>
  <c r="J49" i="1"/>
  <c r="L49" i="1"/>
  <c r="H50" i="1"/>
  <c r="D88" i="1" s="1"/>
  <c r="J50" i="1"/>
  <c r="L50" i="1"/>
  <c r="G55" i="1"/>
  <c r="G56" i="1"/>
  <c r="G57" i="1"/>
  <c r="H62" i="1"/>
  <c r="H63" i="1"/>
  <c r="H64" i="1"/>
  <c r="H65" i="1"/>
  <c r="H66" i="1"/>
  <c r="H72" i="1"/>
  <c r="H85" i="1"/>
  <c r="H86" i="1"/>
  <c r="H87" i="1"/>
  <c r="H88" i="1"/>
  <c r="H116" i="1"/>
  <c r="J116" i="1"/>
  <c r="L116" i="1"/>
  <c r="J117" i="1"/>
  <c r="L117" i="1"/>
  <c r="J118" i="1"/>
  <c r="L118" i="1"/>
  <c r="J119" i="1"/>
  <c r="L119" i="1"/>
  <c r="J120" i="1"/>
  <c r="L120" i="1"/>
  <c r="I131" i="1"/>
  <c r="J131" i="1"/>
  <c r="I132" i="1"/>
  <c r="J132" i="1"/>
  <c r="I133" i="1"/>
  <c r="J133" i="1"/>
  <c r="I134" i="1"/>
  <c r="J134" i="1"/>
  <c r="E135" i="1"/>
  <c r="F135" i="1"/>
  <c r="G135" i="1"/>
  <c r="H135" i="1"/>
  <c r="I135" i="1"/>
  <c r="E136" i="1"/>
  <c r="F136" i="1"/>
  <c r="G136" i="1"/>
  <c r="H136" i="1"/>
  <c r="I136" i="1"/>
  <c r="E137" i="1"/>
  <c r="F137" i="1"/>
  <c r="G137" i="1"/>
  <c r="H137" i="1"/>
  <c r="I137" i="1"/>
  <c r="J145" i="1"/>
  <c r="I146" i="1"/>
  <c r="J146" i="1"/>
  <c r="E147" i="1"/>
  <c r="F147" i="1"/>
  <c r="G147" i="1"/>
  <c r="H147" i="1"/>
  <c r="I147" i="1"/>
  <c r="L161" i="1"/>
  <c r="F186" i="1"/>
  <c r="I186" i="1"/>
  <c r="G251" i="1"/>
  <c r="I251" i="1"/>
  <c r="K251" i="1"/>
  <c r="J255" i="1"/>
  <c r="J259" i="1"/>
  <c r="J267" i="1"/>
  <c r="J271" i="1"/>
  <c r="H282" i="1"/>
  <c r="H283" i="1"/>
  <c r="H284" i="1"/>
  <c r="H285" i="1"/>
  <c r="J319" i="1"/>
  <c r="E72" i="1"/>
  <c r="E62" i="1"/>
  <c r="L377" i="1"/>
  <c r="D85" i="1"/>
  <c r="D55" i="1"/>
  <c r="E63" i="1" l="1"/>
  <c r="I63" i="1" s="1"/>
  <c r="K63" i="1" s="1"/>
  <c r="M63" i="1" s="1"/>
  <c r="I88" i="1"/>
  <c r="K88" i="1" s="1"/>
  <c r="M88" i="1" s="1"/>
  <c r="I62" i="1"/>
  <c r="K62" i="1" s="1"/>
  <c r="M62" i="1" s="1"/>
  <c r="E65" i="1"/>
  <c r="I65" i="1"/>
  <c r="K65" i="1" s="1"/>
  <c r="M65" i="1" s="1"/>
  <c r="E379" i="1"/>
  <c r="L379" i="1" s="1"/>
  <c r="J147" i="1"/>
  <c r="D57" i="1"/>
  <c r="H57" i="1" s="1"/>
  <c r="J57" i="1" s="1"/>
  <c r="L57" i="1" s="1"/>
  <c r="D56" i="1"/>
  <c r="H56" i="1" s="1"/>
  <c r="J56" i="1" s="1"/>
  <c r="L56" i="1" s="1"/>
  <c r="E66" i="1"/>
  <c r="I66" i="1" s="1"/>
  <c r="K66" i="1" s="1"/>
  <c r="M66" i="1" s="1"/>
  <c r="H55" i="1"/>
  <c r="J55" i="1" s="1"/>
  <c r="L55" i="1" s="1"/>
  <c r="J137" i="1"/>
  <c r="I85" i="1"/>
  <c r="K85" i="1" s="1"/>
  <c r="M85" i="1" s="1"/>
  <c r="H98" i="1"/>
  <c r="J98" i="1" s="1"/>
  <c r="L98" i="1" s="1"/>
  <c r="J135" i="1"/>
  <c r="I120" i="1"/>
  <c r="K120" i="1" s="1"/>
  <c r="M120" i="1" s="1"/>
  <c r="I72" i="1"/>
  <c r="K72" i="1" s="1"/>
  <c r="M72" i="1" s="1"/>
  <c r="L186" i="1"/>
  <c r="J136" i="1"/>
  <c r="I86" i="1"/>
  <c r="K86" i="1" s="1"/>
  <c r="M86" i="1" s="1"/>
  <c r="I64" i="1"/>
  <c r="K64" i="1" s="1"/>
  <c r="M64" i="1" s="1"/>
  <c r="H100" i="1"/>
  <c r="J100" i="1" s="1"/>
  <c r="L100" i="1" s="1"/>
  <c r="I49" i="1"/>
  <c r="K49" i="1" s="1"/>
  <c r="M49" i="1" s="1"/>
  <c r="I116" i="1"/>
  <c r="K116" i="1" s="1"/>
  <c r="M116" i="1" s="1"/>
  <c r="I119" i="1"/>
  <c r="K119" i="1" s="1"/>
  <c r="M119" i="1" s="1"/>
  <c r="M251" i="1"/>
  <c r="I47" i="1"/>
  <c r="K47" i="1" s="1"/>
  <c r="M47" i="1" s="1"/>
  <c r="I50" i="1"/>
  <c r="K50" i="1" s="1"/>
  <c r="M50" i="1" s="1"/>
  <c r="D87" i="1"/>
  <c r="I87" i="1" s="1"/>
  <c r="K87" i="1" s="1"/>
  <c r="M87" i="1" s="1"/>
  <c r="L378" i="1"/>
  <c r="H101" i="1"/>
  <c r="J101" i="1" s="1"/>
  <c r="L101" i="1" s="1"/>
  <c r="I48" i="1"/>
  <c r="K48" i="1" s="1"/>
  <c r="M48" i="1" s="1"/>
  <c r="H99" i="1"/>
  <c r="J99" i="1" s="1"/>
  <c r="L99" i="1" s="1"/>
  <c r="I118" i="1"/>
  <c r="K118" i="1" s="1"/>
  <c r="M118" i="1" s="1"/>
  <c r="I117" i="1"/>
  <c r="K117" i="1" s="1"/>
  <c r="M117" i="1" s="1"/>
</calcChain>
</file>

<file path=xl/comments1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2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sharedStrings.xml><?xml version="1.0" encoding="utf-8"?>
<sst xmlns="http://schemas.openxmlformats.org/spreadsheetml/2006/main" count="924" uniqueCount="528">
  <si>
    <t>PHYSICIST MONTHLY QA REPORT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</si>
  <si>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</si>
  <si>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</si>
  <si>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</si>
  <si>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</si>
  <si>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</si>
  <si>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</si>
  <si>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</si>
  <si>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</si>
  <si>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</si>
  <si>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</si>
  <si>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</si>
  <si>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</si>
  <si>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</si>
  <si>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</si>
  <si>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SUMMARY</t>
  </si>
  <si>
    <t>Medical Physicist</t>
  </si>
  <si>
    <t>Derek Wells</t>
  </si>
  <si>
    <t>Wayne Beckham</t>
  </si>
  <si>
    <t>Carmen Popescu</t>
  </si>
  <si>
    <t>Sergei Zavgorodni</t>
  </si>
  <si>
    <r>
      <t>Isabelle Gagn</t>
    </r>
    <r>
      <rPr>
        <sz val="10"/>
        <rFont val="Arial"/>
        <family val="2"/>
      </rPr>
      <t>é</t>
    </r>
  </si>
  <si>
    <t>PASS</t>
  </si>
  <si>
    <t>FAIL</t>
  </si>
  <si>
    <t>PA Weekly Light-Radiation Coincidence Test</t>
  </si>
  <si>
    <t>Physics Assistant's (PA) Weekly Output Test</t>
  </si>
  <si>
    <t>PA Monthly QA Report</t>
  </si>
  <si>
    <t>RTT Daily (morning) QC Tests</t>
  </si>
  <si>
    <t>Electrometer:</t>
  </si>
  <si>
    <t>Probe</t>
  </si>
  <si>
    <t>PTW#5</t>
  </si>
  <si>
    <t>MKS#2</t>
  </si>
  <si>
    <t>PTW#4</t>
  </si>
  <si>
    <t>PTW#3</t>
  </si>
  <si>
    <t>PTW#2</t>
  </si>
  <si>
    <t>MKS#1</t>
  </si>
  <si>
    <t>Electrometer</t>
  </si>
  <si>
    <t>(settings: med range, nC, -300V)</t>
  </si>
  <si>
    <t>Energy</t>
  </si>
  <si>
    <t>Rdg 1</t>
  </si>
  <si>
    <t>Rdg 2</t>
  </si>
  <si>
    <t>Rdg 3</t>
  </si>
  <si>
    <t>Avg Rdg</t>
  </si>
  <si>
    <t>Fc</t>
  </si>
  <si>
    <t>Tolerance</t>
  </si>
  <si>
    <t>(MV)</t>
  </si>
  <si>
    <t>(cGy/nC)</t>
  </si>
  <si>
    <t>(nC)</t>
  </si>
  <si>
    <t>(cGy)</t>
  </si>
  <si>
    <t>Dose</t>
  </si>
  <si>
    <t>(%)</t>
  </si>
  <si>
    <t>Δ</t>
  </si>
  <si>
    <t>Value</t>
  </si>
  <si>
    <t>Rdg 60IN</t>
  </si>
  <si>
    <t>EDW60 Values</t>
  </si>
  <si>
    <t>Open</t>
  </si>
  <si>
    <t>EDWf</t>
  </si>
  <si>
    <t>Rdg 60OUT</t>
  </si>
  <si>
    <t>(cm)</t>
  </si>
  <si>
    <t>TMR</t>
  </si>
  <si>
    <t>Depth (cm)</t>
  </si>
  <si>
    <t>Rdg1 dmax</t>
  </si>
  <si>
    <t>Rdg2 dmax</t>
  </si>
  <si>
    <t>TMR(10)</t>
  </si>
  <si>
    <t>(1mm cap on)</t>
  </si>
  <si>
    <t>(MeV)</t>
  </si>
  <si>
    <t>Ref Value</t>
  </si>
  <si>
    <t>Ratio</t>
  </si>
  <si>
    <t>1. AUDITS</t>
  </si>
  <si>
    <t>INSTRUCTIONS:</t>
  </si>
  <si>
    <t>Areas colour-coded GREEN are for data entry</t>
  </si>
  <si>
    <t>ΔY2</t>
  </si>
  <si>
    <t>(mm)</t>
  </si>
  <si>
    <t>Collim (°)</t>
  </si>
  <si>
    <t>Y2 (cm)</t>
  </si>
  <si>
    <t>Y1 (cm)</t>
  </si>
  <si>
    <t>X1 (cm)</t>
  </si>
  <si>
    <t>X2 (cm)</t>
  </si>
  <si>
    <t>X1</t>
  </si>
  <si>
    <t>X2</t>
  </si>
  <si>
    <t>Y1</t>
  </si>
  <si>
    <t>Y2</t>
  </si>
  <si>
    <t>X1/Y2 Jxn</t>
  </si>
  <si>
    <t>X2/Y1 Jxn</t>
  </si>
  <si>
    <t>Junction (%)</t>
  </si>
  <si>
    <t>Edge (mm)</t>
  </si>
  <si>
    <t>X-Flatness</t>
  </si>
  <si>
    <t>X-Symmetry</t>
  </si>
  <si>
    <t>Y-Flatness</t>
  </si>
  <si>
    <t>Y-Symmetry</t>
  </si>
  <si>
    <t>Artefacts</t>
  </si>
  <si>
    <t>YES</t>
  </si>
  <si>
    <t>NO</t>
  </si>
  <si>
    <t>Comment on any image artefacts:</t>
  </si>
  <si>
    <t>Y</t>
  </si>
  <si>
    <t>Distance</t>
  </si>
  <si>
    <t>Individual</t>
  </si>
  <si>
    <t>Comments:</t>
  </si>
  <si>
    <t>Dist.(cm)</t>
  </si>
  <si>
    <t>Dist. (cm)</t>
  </si>
  <si>
    <t>ΔCAX (%)</t>
  </si>
  <si>
    <t>Overall</t>
  </si>
  <si>
    <t>ΔPeak Size</t>
  </si>
  <si>
    <t>ΔX1</t>
  </si>
  <si>
    <t>ΔX2</t>
  </si>
  <si>
    <t>ΔY1</t>
  </si>
  <si>
    <t>(Radiation field edge relative to machine isocentre: '+' underlap, '-' overlap; Junction: '+' underlap, '-' overlap)</t>
  </si>
  <si>
    <t>H:\Physics\Vicc\Qa\VarianLinac\Weekly OP.xls</t>
  </si>
  <si>
    <t>H:\Physics\Vicc\Qa\VarianLinac\dMLC Monthly OP.xls</t>
  </si>
  <si>
    <t>H:\Physics\Vicc\QA\VarianLinac\Physics-PhyAssis Output Comparison.xls</t>
  </si>
  <si>
    <t>H:\Physics\Vicc\Qa\VarianLinac</t>
  </si>
  <si>
    <t>CONTROLS:</t>
  </si>
  <si>
    <t>CONDITIONAL PASS</t>
  </si>
  <si>
    <t>s/n</t>
  </si>
  <si>
    <t>0434</t>
  </si>
  <si>
    <t>1705</t>
  </si>
  <si>
    <t>Unidos S1</t>
  </si>
  <si>
    <t>Unidos E2</t>
  </si>
  <si>
    <t>Unidos E3</t>
  </si>
  <si>
    <t>Unidos E4</t>
  </si>
  <si>
    <t>0013</t>
  </si>
  <si>
    <t>0034</t>
  </si>
  <si>
    <t>0035</t>
  </si>
  <si>
    <t>Probe:</t>
  </si>
  <si>
    <t>Rdg d10</t>
  </si>
  <si>
    <t>Monthly OP.xls</t>
  </si>
  <si>
    <t>H:\Physics\Vicc\Qa\VarianLinac\Monthly OP.xls</t>
  </si>
  <si>
    <t>VIFIR_TB1</t>
  </si>
  <si>
    <t>VIARBUTUS_TB2</t>
  </si>
  <si>
    <t>PTW#6</t>
  </si>
  <si>
    <t>Dated</t>
  </si>
  <si>
    <t>VIBIRCH_TB3</t>
  </si>
  <si>
    <t>VICEDAR_TB4</t>
  </si>
  <si>
    <t>VISPRUCE_TB5</t>
  </si>
  <si>
    <t>VIOAK_TB6</t>
  </si>
  <si>
    <t>H:\Physics\Vicc\QA\Reports</t>
  </si>
  <si>
    <t>Dir/File</t>
  </si>
  <si>
    <t>10fff</t>
  </si>
  <si>
    <t>TMR Reference Values</t>
  </si>
  <si>
    <t>Today</t>
  </si>
  <si>
    <t>Save: Saves data using a standardized Filename and Directory Path</t>
  </si>
  <si>
    <t>Update dB: Updates the Output trending database</t>
  </si>
  <si>
    <t>Sequence</t>
  </si>
  <si>
    <t>5mm Slot</t>
  </si>
  <si>
    <t>Prostate</t>
  </si>
  <si>
    <t>Rdg1</t>
  </si>
  <si>
    <t>Rdg2</t>
  </si>
  <si>
    <t>5mm</t>
  </si>
  <si>
    <t>dMLC Reference O/P Values</t>
  </si>
  <si>
    <t>H&amp;N_VMAT</t>
  </si>
  <si>
    <r>
      <t xml:space="preserve">5mm </t>
    </r>
    <r>
      <rPr>
        <i/>
        <sz val="8"/>
        <color indexed="10"/>
        <rFont val="Arial"/>
        <family val="2"/>
      </rPr>
      <t>interrupt*</t>
    </r>
  </si>
  <si>
    <t>* Half way through leaf sequence delivery press Beam OFF button on console, then complete delivery</t>
  </si>
  <si>
    <t>dMLC Error*</t>
  </si>
  <si>
    <t>Result</t>
  </si>
  <si>
    <t>* Attempt to deliver leaf sequence, software interlock should occur</t>
  </si>
  <si>
    <t>Beam Hold</t>
  </si>
  <si>
    <t>Reference</t>
  </si>
  <si>
    <t>d</t>
  </si>
  <si>
    <t>Comments</t>
  </si>
  <si>
    <t>6E: 11cm</t>
  </si>
  <si>
    <t>9E: 10cm</t>
  </si>
  <si>
    <t>12E: 7.5cm</t>
  </si>
  <si>
    <t>16E: 7.5cm</t>
  </si>
  <si>
    <t>20E: 7cm</t>
  </si>
  <si>
    <t xml:space="preserve">X1,X2,Y1,Y2 </t>
  </si>
  <si>
    <t>Rad - Dig</t>
  </si>
  <si>
    <t>-</t>
  </si>
  <si>
    <t>Rad - Light</t>
  </si>
  <si>
    <t>('+' Light field edge &gt; Digital setting)</t>
  </si>
  <si>
    <t>Light - Dig</t>
  </si>
  <si>
    <t>('+' Radiation field edge &gt; Digital setting)</t>
  </si>
  <si>
    <t>('+' Radiation  &gt; Light field edge)</t>
  </si>
  <si>
    <t>ACQUISITION/ANALYSIS: as per above except EPIs integrated 30MU</t>
  </si>
  <si>
    <t xml:space="preserve">ACQUISITION/ANALYSIS: as per above </t>
  </si>
  <si>
    <t>SETUP/ACQUISITION/ANALYSIS*: As per above</t>
  </si>
  <si>
    <t>6E</t>
  </si>
  <si>
    <t>9E</t>
  </si>
  <si>
    <t>12E</t>
  </si>
  <si>
    <t>16E</t>
  </si>
  <si>
    <t>20E</t>
  </si>
  <si>
    <t>SETUP/ACQUISITION: As per above</t>
  </si>
  <si>
    <t>MKS#4</t>
  </si>
  <si>
    <t>MKSadv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</si>
  <si>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0°, Farmer chamber in solid water with axis aligned to mechanical crosshair  and perpendicular to couch LNG, </t>
    </r>
  </si>
  <si>
    <r>
      <t xml:space="preserve">SETUP: As per above except </t>
    </r>
    <r>
      <rPr>
        <b/>
        <sz val="10"/>
        <color indexed="10"/>
        <rFont val="Arial"/>
        <family val="2"/>
      </rPr>
      <t>GO INTO ROOM AND MOVE COUCH LNG to ~25cm</t>
    </r>
    <r>
      <rPr>
        <sz val="10"/>
        <color indexed="10"/>
        <rFont val="Arial"/>
        <family val="2"/>
      </rPr>
      <t xml:space="preserve">; </t>
    </r>
    <r>
      <rPr>
        <sz val="10"/>
        <rFont val="Arial"/>
        <family val="2"/>
      </rPr>
      <t>specified jaw/collimator settings (see Table)</t>
    </r>
  </si>
  <si>
    <t>* Current tolerance values are tentative; If picket fence fails, append details from Portal QA to report</t>
  </si>
  <si>
    <t>NOT DONE</t>
  </si>
  <si>
    <t>VRT</t>
  </si>
  <si>
    <t>LNG</t>
  </si>
  <si>
    <t>LAT</t>
  </si>
  <si>
    <t>Δ (cm)</t>
  </si>
  <si>
    <t>Couch Coordinates AFTER Move (cm):</t>
  </si>
  <si>
    <t>Suggested Couch Moves (cm):</t>
  </si>
  <si>
    <r>
      <t xml:space="preserve">KV Planar Pair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</si>
  <si>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90°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</si>
  <si>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0° </t>
    </r>
    <r>
      <rPr>
        <b/>
        <i/>
        <sz val="10"/>
        <color indexed="10"/>
        <rFont val="Arial"/>
        <family val="2"/>
      </rPr>
      <t>(manual registration)</t>
    </r>
  </si>
  <si>
    <t>SETUP: Position RPM phantom on couch with 4-dot marker approximately aligned to isocentre. Activate phantom motion.</t>
  </si>
  <si>
    <t>Gated Residual Motion (cm):</t>
  </si>
  <si>
    <t>Total Patient Motion (cm):</t>
  </si>
  <si>
    <t>Total Cycle Period (s):</t>
  </si>
  <si>
    <t>Time Delay:</t>
  </si>
  <si>
    <t>Beam On:</t>
  </si>
  <si>
    <t>Total Beam On Time (min):</t>
  </si>
  <si>
    <t>(functional, beam on only between defined threshold levels)</t>
  </si>
  <si>
    <t>Coverage</t>
  </si>
  <si>
    <t>Settings</t>
  </si>
  <si>
    <t>kV Readout</t>
  </si>
  <si>
    <t>SETUP: as per above EXCEPT remove Las Vegas phantom</t>
  </si>
  <si>
    <t>ACQUISITION: Perform all tests for specified DICOMRT file.</t>
  </si>
  <si>
    <t xml:space="preserve">CBCT </t>
  </si>
  <si>
    <t>Protocol</t>
  </si>
  <si>
    <t>Spotlight</t>
  </si>
  <si>
    <t>Thorax</t>
  </si>
  <si>
    <t>Fan Type</t>
  </si>
  <si>
    <t>Full</t>
  </si>
  <si>
    <t>Half</t>
  </si>
  <si>
    <t>Trajectory</t>
  </si>
  <si>
    <t>IQ</t>
  </si>
  <si>
    <t>(functional, set time delay from lower threshold to beam on)</t>
  </si>
  <si>
    <t>Average</t>
  </si>
  <si>
    <t>VMAT</t>
  </si>
  <si>
    <t>Gantry Angle:</t>
  </si>
  <si>
    <t>Picket Fence CAX Offset (relative to workstation display grid)</t>
  </si>
  <si>
    <t>mAs</t>
  </si>
  <si>
    <t>Unidos E5</t>
  </si>
  <si>
    <t>guestimate</t>
  </si>
  <si>
    <t>0980</t>
  </si>
  <si>
    <t>Focal Spot</t>
  </si>
  <si>
    <t>Small</t>
  </si>
  <si>
    <t>Head*</t>
  </si>
  <si>
    <t>Junction Distance (mm):</t>
  </si>
  <si>
    <t>Junction Peaks:</t>
  </si>
  <si>
    <t>qualitative</t>
  </si>
  <si>
    <t>p/f</t>
  </si>
  <si>
    <t>Overall:</t>
  </si>
  <si>
    <t>Tolerances</t>
  </si>
  <si>
    <t>(kVp, mAs)</t>
  </si>
  <si>
    <t>Exp. Values</t>
  </si>
  <si>
    <t>(kVp)</t>
  </si>
  <si>
    <t>kVp, mAs</t>
  </si>
  <si>
    <t>Version Documentation</t>
  </si>
  <si>
    <t>v. 1.100</t>
  </si>
  <si>
    <t>Version</t>
  </si>
  <si>
    <t>Date</t>
  </si>
  <si>
    <t>This spreadsheet was the final iteration of the original excel worksheet used for monthly QA of Varian c-series machines (CL6, CL21EX)</t>
  </si>
  <si>
    <t>v. 2.100</t>
  </si>
  <si>
    <t>The original version of monthly QA worksheet for Varian Truebeam (v1.6) machines</t>
  </si>
  <si>
    <t>Author</t>
  </si>
  <si>
    <t>DMWells</t>
  </si>
  <si>
    <r>
      <t>T</t>
    </r>
    <r>
      <rPr>
        <b/>
        <vertAlign val="subscript"/>
        <sz val="12"/>
        <rFont val="Arial"/>
        <family val="2"/>
      </rPr>
      <t>probe</t>
    </r>
    <r>
      <rPr>
        <b/>
        <sz val="12"/>
        <rFont val="Arial"/>
        <family val="2"/>
      </rPr>
      <t>:</t>
    </r>
  </si>
  <si>
    <r>
      <t>P</t>
    </r>
    <r>
      <rPr>
        <b/>
        <vertAlign val="subscript"/>
        <sz val="12"/>
        <rFont val="Arial"/>
        <family val="2"/>
      </rPr>
      <t>corr</t>
    </r>
    <r>
      <rPr>
        <b/>
        <sz val="12"/>
        <rFont val="Arial"/>
        <family val="2"/>
      </rPr>
      <t>:</t>
    </r>
  </si>
  <si>
    <r>
      <t>(</t>
    </r>
    <r>
      <rPr>
        <sz val="10"/>
        <rFont val="Calibri"/>
        <family val="2"/>
      </rPr>
      <t>µ</t>
    </r>
    <r>
      <rPr>
        <sz val="10"/>
        <rFont val="Arial"/>
        <family val="2"/>
      </rPr>
      <t>Gy)</t>
    </r>
  </si>
  <si>
    <t>(µGy)</t>
  </si>
  <si>
    <t>Rdg</t>
  </si>
  <si>
    <t>Unidos electrometer (-300V, med); CTP correction; Nd-ratio correction; rotate gantry to 180° CW.</t>
  </si>
  <si>
    <t>v. 2.101</t>
  </si>
  <si>
    <t>CBCT dose measurement procedure changed from CTDI type measurement to a Farmer chamber measuremnt in SW</t>
  </si>
  <si>
    <t>CBCT Reference O/P Values</t>
  </si>
  <si>
    <t>Bowtie Filter</t>
  </si>
  <si>
    <t>kV</t>
  </si>
  <si>
    <t>nC</t>
  </si>
  <si>
    <t>Head</t>
  </si>
  <si>
    <r>
      <t>C</t>
    </r>
    <r>
      <rPr>
        <b/>
        <vertAlign val="subscript"/>
        <sz val="12"/>
        <rFont val="Arial"/>
        <family val="2"/>
      </rPr>
      <t>TP</t>
    </r>
    <r>
      <rPr>
        <b/>
        <sz val="12"/>
        <rFont val="Arial"/>
        <family val="2"/>
      </rPr>
      <t>:</t>
    </r>
  </si>
  <si>
    <t>Absolute Couch Coordinates for Registration Phantom Aligned to Isocentre</t>
  </si>
  <si>
    <t>ANG</t>
  </si>
  <si>
    <t>2. X-RAY OUTPUTS</t>
  </si>
  <si>
    <t>3. ELECTRON OUTPUTS</t>
  </si>
  <si>
    <t>At console, select "Create a new tracking protocol by importing RPM data" from the file ID: viPhysicsQA; select 6-dot marker reference session;</t>
  </si>
  <si>
    <r>
      <t xml:space="preserve">SETUP/ACQUISITION: As per above except position </t>
    </r>
    <r>
      <rPr>
        <b/>
        <sz val="10"/>
        <rFont val="Arial"/>
        <family val="2"/>
      </rPr>
      <t>PTW Diavolt Multimeter</t>
    </r>
    <r>
      <rPr>
        <sz val="10"/>
        <rFont val="Arial"/>
        <family val="2"/>
      </rPr>
      <t xml:space="preserve"> on KVD cover aligned ~ isocentre;</t>
    </r>
  </si>
  <si>
    <t>ANALYSIS: Use PipsPro software or in-house MATLAB code for image quality analysis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</si>
  <si>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 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</si>
  <si>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</si>
  <si>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</si>
  <si>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t>f30</t>
  </si>
  <si>
    <t>CNR</t>
  </si>
  <si>
    <r>
      <t xml:space="preserve">SETUP/ACQUISITION: As per above except position </t>
    </r>
    <r>
      <rPr>
        <b/>
        <sz val="10"/>
        <rFont val="Arial"/>
        <family val="2"/>
      </rPr>
      <t>PipsPro KV phantom</t>
    </r>
    <r>
      <rPr>
        <sz val="10"/>
        <rFont val="Arial"/>
        <family val="2"/>
      </rPr>
      <t xml:space="preserve"> on KVD cover aligned ~ isocentre</t>
    </r>
  </si>
  <si>
    <t>SETUP: Align front dots on CATPHAN504 phantom with laser isocentre then move couch LNG 7cm to align lasers with 3rd dot on top of phantom</t>
  </si>
  <si>
    <t>Acquire CBCT image set using the specified Head protocol.</t>
  </si>
  <si>
    <t>Signal</t>
  </si>
  <si>
    <t>Noise</t>
  </si>
  <si>
    <t>ROI Δmax(%)</t>
  </si>
  <si>
    <t>Note: banding, ghosting, crystal defects noticeable but not clinically significant</t>
  </si>
  <si>
    <t>Grid Offset X (mm):</t>
  </si>
  <si>
    <t>Grid Offset Y (mm):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</si>
  <si>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</t>
    </r>
  </si>
  <si>
    <t>Ref (mm)</t>
  </si>
  <si>
    <t>Tol. (mm)</t>
  </si>
  <si>
    <t>CT# (HU)</t>
  </si>
  <si>
    <t>Ref (HU)</t>
  </si>
  <si>
    <t>Tol. (HU)</t>
  </si>
  <si>
    <t>Delrin</t>
  </si>
  <si>
    <t>Air</t>
  </si>
  <si>
    <t>LDPE</t>
  </si>
  <si>
    <t>Teflon</t>
  </si>
  <si>
    <t>min</t>
  </si>
  <si>
    <t>max</t>
  </si>
  <si>
    <t>Δ (HU)</t>
  </si>
  <si>
    <t>Signal (CT#) in 5 Regions</t>
  </si>
  <si>
    <t>Noise (SD) in 5 Regions</t>
  </si>
  <si>
    <t>** fin fin fin **</t>
  </si>
  <si>
    <t>Comments/Artefacts</t>
  </si>
  <si>
    <t>v. 2.102</t>
  </si>
  <si>
    <t>CATPHAN Image Analysis section added, kV/MV PipsPro section added</t>
  </si>
  <si>
    <t>ACTIVE</t>
  </si>
  <si>
    <t>Completion Date (dd-mmm-yyyy):</t>
  </si>
  <si>
    <t>Added QM deleted MP to physicist list</t>
  </si>
  <si>
    <t>Added Fc factors, couch coords for VICEDAR_TB4</t>
  </si>
  <si>
    <t>PTW#7</t>
  </si>
  <si>
    <t>2525</t>
  </si>
  <si>
    <t>v. 2.103</t>
  </si>
  <si>
    <t>Updated Nd values (based on 12-Nov-2014 NRC calibration of PTW#7) --&gt; rel Nd factors changed, changed Fc factors for Cedar</t>
  </si>
  <si>
    <t>v. 2.104</t>
  </si>
  <si>
    <t>MV PipsPro CNR ref value changed from 600 to 150 (new PipsPro v5.0 software and analysis); MV noise ref value changed from 50 to 75%; Planar kV and CBCT measurement frequency changed to once every 3 months; Teflon HU ref value changed from 950 to 990.</t>
  </si>
  <si>
    <r>
      <t>Rdg</t>
    </r>
    <r>
      <rPr>
        <b/>
        <vertAlign val="subscript"/>
        <sz val="10"/>
        <rFont val="Arial"/>
        <family val="2"/>
      </rPr>
      <t>corr</t>
    </r>
  </si>
  <si>
    <t>SETUP: Gantry 90°, Couch LNG 25cm, KVD VRT=LAT=LNG=0.0cm</t>
  </si>
  <si>
    <t>ANALYSIS: Record blade settings, evaluate radiation coverage of detector array using console display tools, check for any artifacts</t>
  </si>
  <si>
    <t>Prostate (loMod)</t>
  </si>
  <si>
    <t>H&amp;N (HiMod)</t>
  </si>
  <si>
    <t>MLC Model</t>
  </si>
  <si>
    <t>Millenium</t>
  </si>
  <si>
    <t>HD120</t>
  </si>
  <si>
    <t>2.1 X-ray Output Constancy (100MU)</t>
  </si>
  <si>
    <t>1Photon_OP.dcm</t>
  </si>
  <si>
    <t>2.2 EDW Factor (100MU)</t>
  </si>
  <si>
    <t>2.3 dMLC Factor</t>
  </si>
  <si>
    <t>H&amp;N (Hi Mod)</t>
  </si>
  <si>
    <t>2.4 VMAT Factor</t>
  </si>
  <si>
    <t>2.6 TMR (100MU)</t>
  </si>
  <si>
    <t>2.5 dMLC Invalid Sequence</t>
  </si>
  <si>
    <t xml:space="preserve"> 5Photon_Dmax.dcm</t>
  </si>
  <si>
    <t xml:space="preserve"> 12CBCT.dcm</t>
  </si>
  <si>
    <r>
      <t xml:space="preserve">3.1 Electron Output Constancy </t>
    </r>
    <r>
      <rPr>
        <sz val="10"/>
        <rFont val="Arial"/>
        <family val="2"/>
      </rPr>
      <t>(100MU)</t>
    </r>
  </si>
  <si>
    <t xml:space="preserve"> 6Electron_OP.dcm</t>
  </si>
  <si>
    <t>9Registration.dcm</t>
  </si>
  <si>
    <t>10RPM.dcm</t>
  </si>
  <si>
    <t>11KVPlanar.dcm</t>
  </si>
  <si>
    <t>12CBCT.dcm</t>
  </si>
  <si>
    <t>min Distance (mm)</t>
  </si>
  <si>
    <t>max Distance (mm)</t>
  </si>
  <si>
    <t>Delrin-LDPE</t>
  </si>
  <si>
    <t>Ref</t>
  </si>
  <si>
    <t>Noise (SD)</t>
  </si>
  <si>
    <t>Tol (%)</t>
  </si>
  <si>
    <t>avg Slice Width (mm)</t>
  </si>
  <si>
    <t>ANALYSIS: Measure distances from digital field edge to radiation field edge using console display tools. Checks blade and detector positioning accuracy.</t>
  </si>
  <si>
    <t>ACQUISITION: as per above</t>
  </si>
  <si>
    <t>SETUP: as per above</t>
  </si>
  <si>
    <r>
      <t xml:space="preserve">Select Beam Preview button on console, turn </t>
    </r>
    <r>
      <rPr>
        <b/>
        <sz val="10"/>
        <rFont val="Arial"/>
        <family val="2"/>
      </rPr>
      <t>Blade Tracking OFF</t>
    </r>
    <r>
      <rPr>
        <sz val="10"/>
        <rFont val="Arial"/>
        <family val="2"/>
      </rPr>
      <t>, adjust blade positions to: x1=x2=y1=y2=10.0cm. Acquire KV planar image</t>
    </r>
  </si>
  <si>
    <t>Filter</t>
  </si>
  <si>
    <t>None</t>
  </si>
  <si>
    <t>(lp/mm)</t>
  </si>
  <si>
    <t>f10</t>
  </si>
  <si>
    <t>Ref f30</t>
  </si>
  <si>
    <t>Ref f10</t>
  </si>
  <si>
    <t>Ref CNR</t>
  </si>
  <si>
    <t>Titanium</t>
  </si>
  <si>
    <t>Updated DCM files to include HD_MLC; modified KV planar and CBCT analysis parameters</t>
  </si>
  <si>
    <t>TPR2.5</t>
  </si>
  <si>
    <t>nom. dmax</t>
  </si>
  <si>
    <t>(performed once every 3 months)</t>
  </si>
  <si>
    <r>
      <t>Δ</t>
    </r>
    <r>
      <rPr>
        <vertAlign val="subscript"/>
        <sz val="12"/>
        <rFont val="Arial"/>
        <family val="2"/>
      </rPr>
      <t>max</t>
    </r>
    <r>
      <rPr>
        <sz val="12"/>
        <rFont val="Arial"/>
        <family val="2"/>
      </rPr>
      <t xml:space="preserve"> </t>
    </r>
    <r>
      <rPr>
        <sz val="10"/>
        <rFont val="Arial"/>
        <family val="2"/>
      </rPr>
      <t>(%)</t>
    </r>
  </si>
  <si>
    <t>Tolerance (%)</t>
  </si>
  <si>
    <t>VMAT 6X DR/GA Speed:</t>
  </si>
  <si>
    <t>VMAT 6X DR/MLC Speed:</t>
  </si>
  <si>
    <t>VMAT 10Xfff DR/GA Speed:</t>
  </si>
  <si>
    <t>ANALYSIS: For Picket fence tests, select field and use WKS tools (ruler, grid for evaluation); otherwise, use PortalQA</t>
  </si>
  <si>
    <r>
      <t xml:space="preserve">KV Marker Match </t>
    </r>
    <r>
      <rPr>
        <b/>
        <i/>
        <sz val="10"/>
        <color indexed="10"/>
        <rFont val="Arial"/>
        <family val="2"/>
      </rPr>
      <t>(manual registration)</t>
    </r>
  </si>
  <si>
    <t>* n.b. Cycle period may be dependent on phantom battery charge</t>
  </si>
  <si>
    <t>60, 1.0</t>
  </si>
  <si>
    <t>Mode</t>
  </si>
  <si>
    <t>Dual Image</t>
  </si>
  <si>
    <t>Single Image/Flood</t>
  </si>
  <si>
    <t>30 MU</t>
  </si>
  <si>
    <t>f30 (lp/mm)</t>
  </si>
  <si>
    <t>f10 (lp/mm)</t>
  </si>
  <si>
    <t>6 MV</t>
  </si>
  <si>
    <t>60 kV</t>
  </si>
  <si>
    <t>Acquisition</t>
  </si>
  <si>
    <t>Integrated</t>
  </si>
  <si>
    <t>1.0 mAs</t>
  </si>
  <si>
    <t>std</t>
  </si>
  <si>
    <t>none</t>
  </si>
  <si>
    <t>PipsPro Phantom Reference Image Quality Metrics</t>
  </si>
  <si>
    <r>
      <t>Acquire CBCT using Head protocol (</t>
    </r>
    <r>
      <rPr>
        <b/>
        <sz val="10"/>
        <rFont val="Arial"/>
        <family val="2"/>
      </rPr>
      <t>Mode: Head, Fan Type: Full, Trajectory: Half</t>
    </r>
    <r>
      <rPr>
        <sz val="10"/>
        <rFont val="Arial"/>
        <family val="2"/>
      </rPr>
      <t xml:space="preserve">), default mAs, perform auto-3D registration and </t>
    </r>
    <r>
      <rPr>
        <b/>
        <sz val="10"/>
        <rFont val="Arial"/>
        <family val="2"/>
      </rPr>
      <t>move</t>
    </r>
    <r>
      <rPr>
        <sz val="10"/>
        <rFont val="Arial"/>
        <family val="2"/>
      </rPr>
      <t xml:space="preserve"> couch.</t>
    </r>
  </si>
  <si>
    <t>SETUP: As per above except MLC-defined field size 20x20cm</t>
  </si>
  <si>
    <t>2.7 KV CBCT Dose Index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</si>
  <si>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depth nominal dmax</t>
    </r>
  </si>
  <si>
    <t>TMR ref values changed to nom dmax=2.5cm for all photon energies; MV/KV Pipspro IQ reference values updated; MV is now dual image analysis for all machines; MKS#2 repaired and new Nd-value.</t>
  </si>
  <si>
    <t>Tol. (%)</t>
  </si>
  <si>
    <t>Ref (lp/mm)</t>
  </si>
  <si>
    <t>Bug fixed; electron energies weren't being correctly copied to Monthly_OP spreadsheet (problem has been occurring since v2.200)</t>
  </si>
  <si>
    <t>Use 3D auto-registration for CBCT protocol and manual registrations for all KV and MV planar images. If auto-registration fails, use manual.</t>
  </si>
  <si>
    <r>
      <t xml:space="preserve">SETUP: </t>
    </r>
    <r>
      <rPr>
        <sz val="10"/>
        <rFont val="Arial"/>
        <family val="2"/>
      </rPr>
      <t>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Position indexed registration phantom at couch location H3 and move couch to VRT 10.0, LNG 82.0, LAT 1.0, ROT 0.0. </t>
    </r>
  </si>
  <si>
    <t>4. MVD MEASUREMENTS</t>
  </si>
  <si>
    <t>4.1 Light-Radiation Coincidence, Jaw-defined</t>
  </si>
  <si>
    <t>4.2 Light-Radiation Coincidence, MLC-defined</t>
  </si>
  <si>
    <t>4.3 Radiation Field Edge Alignment @CAX</t>
  </si>
  <si>
    <t>4.4 MV Image Uniformity</t>
  </si>
  <si>
    <t>4.5. Picket Fence</t>
  </si>
  <si>
    <t>4.6 5MM Sliding Window</t>
  </si>
  <si>
    <t>4.7 Friction @ Maximum Leaf Speed</t>
  </si>
  <si>
    <t>4.8 PipsPro MV</t>
  </si>
  <si>
    <t>4.9 VMAT Mechanical Tests</t>
  </si>
  <si>
    <t>5. REGISTRATION</t>
  </si>
  <si>
    <t>5.1. Registration using Varian Cube Phantom</t>
  </si>
  <si>
    <t>6. MOTION MANAGEMENT</t>
  </si>
  <si>
    <t>6.1. RPM System</t>
  </si>
  <si>
    <t>7.1 Blade Tracking/Flood Field Artefacts</t>
  </si>
  <si>
    <t>7.2 Field Size Accuracy</t>
  </si>
  <si>
    <t>7.3 Image Quality - PipsPro KV</t>
  </si>
  <si>
    <t>7.4 kVp Accuracy/Dose</t>
  </si>
  <si>
    <t>8.1 kV CBCT Image Quality</t>
  </si>
  <si>
    <t>8.2 Geometry</t>
  </si>
  <si>
    <t>8.3 CT Number Accuracy - Sensitometry</t>
  </si>
  <si>
    <t>8.4 High Contrast Resolution (rel. MTF)</t>
  </si>
  <si>
    <t>8.5 Uniformity</t>
  </si>
  <si>
    <t>8.6 Contrast-to-Noise Ratio (CNR)</t>
  </si>
  <si>
    <t>REVIEWED</t>
  </si>
  <si>
    <t>*** Tests to be performed once every 3 months ***</t>
  </si>
  <si>
    <t>8. CBCT MEASUREMENTS</t>
  </si>
  <si>
    <t>7. PLANAR KV MEASUREMENTS</t>
  </si>
  <si>
    <t>OBI Tests Performed:</t>
  </si>
  <si>
    <t>ACTION Items/WATCH Items/General Comments:</t>
  </si>
  <si>
    <t>SETUP/ACQUISITION/ANALYSIS: As per above. For analysis, use second image (less ghosting artifact present)</t>
  </si>
  <si>
    <t>0.5 mAs</t>
  </si>
  <si>
    <t>60, 0.5</t>
  </si>
  <si>
    <t>75, 0.5</t>
  </si>
  <si>
    <t>125, 0.5</t>
  </si>
  <si>
    <t>Checkbox utility functional; Imager calibration removed; new ref values for all tracked MLC leaf sequences - tolerance for VMAT increased to 3%; new ref values for all CBCT outputs; updated Nd values for farmer chambers; Fc based on average across all machines; new ref values for KV planar because mAs changed from 0.1 to 0.5</t>
  </si>
  <si>
    <t>Personnel</t>
  </si>
  <si>
    <t>Status1</t>
  </si>
  <si>
    <t>Status2</t>
  </si>
  <si>
    <t>Status3</t>
  </si>
  <si>
    <t>Status4</t>
  </si>
  <si>
    <t>NOT REVIEWED</t>
  </si>
  <si>
    <t>Manufacturer</t>
  </si>
  <si>
    <t>Serial No.</t>
  </si>
  <si>
    <t>Commission Date</t>
  </si>
  <si>
    <t>Varian</t>
  </si>
  <si>
    <r>
      <t>N</t>
    </r>
    <r>
      <rPr>
        <b/>
        <vertAlign val="subscript"/>
        <sz val="10"/>
        <color indexed="10"/>
        <rFont val="Arial"/>
        <family val="2"/>
      </rPr>
      <t>d</t>
    </r>
  </si>
  <si>
    <r>
      <t>P</t>
    </r>
    <r>
      <rPr>
        <b/>
        <vertAlign val="subscript"/>
        <sz val="10"/>
        <color indexed="10"/>
        <rFont val="Arial"/>
        <family val="2"/>
      </rPr>
      <t>elec</t>
    </r>
  </si>
  <si>
    <t>Comments (Missing/Incomplete Records)</t>
  </si>
  <si>
    <r>
      <t xml:space="preserve">Result Status: PASS - No action required; </t>
    </r>
    <r>
      <rPr>
        <b/>
        <sz val="10"/>
        <color indexed="52"/>
        <rFont val="Arial"/>
        <family val="2"/>
      </rPr>
      <t>MARGINAL</t>
    </r>
    <r>
      <rPr>
        <b/>
        <sz val="10"/>
        <rFont val="Arial"/>
        <family val="2"/>
      </rPr>
      <t xml:space="preserve"> - Action may be required; </t>
    </r>
    <r>
      <rPr>
        <b/>
        <sz val="10"/>
        <color indexed="10"/>
        <rFont val="Arial"/>
        <family val="2"/>
      </rPr>
      <t>FAIL</t>
    </r>
    <r>
      <rPr>
        <b/>
        <sz val="10"/>
        <rFont val="Arial"/>
        <family val="2"/>
      </rPr>
      <t xml:space="preserve"> - Immediate action required</t>
    </r>
  </si>
  <si>
    <t>Accept patient data; Initiate tracking by pressing Start/Stop respiratory tracking icon; Deliver gated treatment. Result status: Pass or Fail.</t>
  </si>
  <si>
    <t>Note: This flood field image should be used in PipsPro analysis. Result Status: Pass or Fail.</t>
  </si>
  <si>
    <t>PTW Diavolt Dose</t>
  </si>
  <si>
    <r>
      <t>Dose (</t>
    </r>
    <r>
      <rPr>
        <b/>
        <sz val="10"/>
        <rFont val="Calibri"/>
        <family val="2"/>
      </rPr>
      <t>µ</t>
    </r>
    <r>
      <rPr>
        <b/>
        <sz val="10"/>
        <rFont val="Arial"/>
        <family val="2"/>
      </rPr>
      <t>Gy)</t>
    </r>
  </si>
  <si>
    <t>CBCT</t>
  </si>
  <si>
    <t>Three-tier action level implemented (Pass, Marginal, Fail); Data section created</t>
  </si>
  <si>
    <t>Pelvis Obese</t>
  </si>
  <si>
    <t>100, 300</t>
  </si>
  <si>
    <t>125, 750</t>
  </si>
  <si>
    <t>125, 270</t>
  </si>
  <si>
    <t>140, 1687.5</t>
  </si>
  <si>
    <r>
      <t>Shared drive\PHYSICS\MachineID\QA\Monthly QA.  *</t>
    </r>
    <r>
      <rPr>
        <sz val="10"/>
        <color indexed="10"/>
        <rFont val="Arial"/>
        <family val="2"/>
      </rPr>
      <t xml:space="preserve"> For the Head protocol, position Gantry at GA180° CW prior to image acquisition.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</si>
  <si>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</si>
  <si>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Farmer chamber axis </t>
    </r>
    <r>
      <rPr>
        <b/>
        <sz val="10"/>
        <color indexed="10"/>
        <rFont val="Arial"/>
        <family val="2"/>
      </rPr>
      <t>parallel</t>
    </r>
    <r>
      <rPr>
        <sz val="10"/>
        <rFont val="Arial"/>
        <family val="2"/>
      </rPr>
      <t xml:space="preserve"> to couch LNG;  100 cm SAD, depth </t>
    </r>
    <r>
      <rPr>
        <b/>
        <sz val="10"/>
        <color indexed="10"/>
        <rFont val="Arial"/>
        <family val="2"/>
      </rPr>
      <t>1 cm</t>
    </r>
    <r>
      <rPr>
        <sz val="10"/>
        <rFont val="Arial"/>
        <family val="2"/>
      </rPr>
      <t>, backscatter 5 cm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</si>
  <si>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or </t>
    </r>
    <r>
      <rPr>
        <sz val="10"/>
        <color indexed="10"/>
        <rFont val="Arial"/>
        <family val="2"/>
      </rPr>
      <t>T</t>
    </r>
    <r>
      <rPr>
        <b/>
        <sz val="10"/>
        <color indexed="10"/>
        <rFont val="Arial"/>
        <family val="2"/>
      </rPr>
      <t>REATMENT</t>
    </r>
    <r>
      <rPr>
        <sz val="10"/>
        <rFont val="Arial"/>
        <family val="2"/>
      </rPr>
      <t xml:space="preserve"> mode, Acquire CBCT image sets for specified protocols using </t>
    </r>
    <r>
      <rPr>
        <b/>
        <sz val="10"/>
        <rFont val="Arial"/>
        <family val="2"/>
      </rPr>
      <t xml:space="preserve">SPECIFIED </t>
    </r>
    <r>
      <rPr>
        <sz val="10"/>
        <rFont val="Arial"/>
        <family val="2"/>
      </rPr>
      <t>mAs.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</si>
  <si>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 </t>
    </r>
    <r>
      <rPr>
        <sz val="10"/>
        <color indexed="10"/>
        <rFont val="Arial"/>
        <family val="2"/>
      </rPr>
      <t>(LNG ~ 100cm)</t>
    </r>
    <r>
      <rPr>
        <sz val="10"/>
        <rFont val="Arial"/>
        <family val="2"/>
      </rPr>
      <t>, grid on couch and aligned with mechanical crosshairs @100SSD(use frontpointer), FS 20x20cm</t>
    </r>
  </si>
  <si>
    <r>
      <rPr>
        <b/>
        <sz val="10"/>
        <rFont val="Arial"/>
        <family val="2"/>
      </rPr>
      <t>ANALYSIS:</t>
    </r>
    <r>
      <rPr>
        <sz val="10"/>
        <rFont val="Arial"/>
        <family val="2"/>
      </rPr>
      <t xml:space="preserve"> Use in-house software "PortalQA_TB"; Result status is either PASS or FAIL.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</si>
  <si>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>MACHINE QA</t>
    </r>
    <r>
      <rPr>
        <b/>
        <sz val="10"/>
        <color indexed="10"/>
        <rFont val="Arial"/>
        <family val="2"/>
      </rPr>
      <t xml:space="preserve"> or TREATMENT</t>
    </r>
    <r>
      <rPr>
        <sz val="10"/>
        <rFont val="Arial"/>
        <family val="2"/>
      </rPr>
      <t xml:space="preserve"> mode, Shared drive\PHYSICS\MachineID\QA\Monthly QA, Acquire EPIs (high quality, single)</t>
    </r>
  </si>
  <si>
    <t>SETUP/ACQUSITION: Position phantom on MVD cover aligned with mechanical crosshairs; acquire 2 images</t>
  </si>
  <si>
    <t>Image ID</t>
  </si>
  <si>
    <r>
      <t xml:space="preserve">Head CBCT Protocol </t>
    </r>
    <r>
      <rPr>
        <b/>
        <i/>
        <sz val="10"/>
        <color indexed="10"/>
        <rFont val="Arial"/>
        <family val="2"/>
      </rPr>
      <t>(auto 3D registration and optionally, adjust manually)</t>
    </r>
  </si>
  <si>
    <r>
      <t>Validate phantom setup using Thorax CBCT with 5 cm z-offset, 2D-2D KV- and MV-paired, and kV Marker Match protocols (</t>
    </r>
    <r>
      <rPr>
        <b/>
        <sz val="10"/>
        <rFont val="Arial"/>
        <family val="2"/>
      </rPr>
      <t>DO NOT</t>
    </r>
    <r>
      <rPr>
        <sz val="10"/>
        <rFont val="Arial"/>
        <family val="2"/>
      </rPr>
      <t xml:space="preserve"> move couch). </t>
    </r>
  </si>
  <si>
    <r>
      <t xml:space="preserve">Thorax CBCT Protocol with 5 cm z-offset </t>
    </r>
    <r>
      <rPr>
        <b/>
        <i/>
        <sz val="10"/>
        <color indexed="10"/>
        <rFont val="Arial"/>
        <family val="2"/>
      </rPr>
      <t>(auto 3D registration)</t>
    </r>
  </si>
  <si>
    <r>
      <t xml:space="preserve">100, </t>
    </r>
    <r>
      <rPr>
        <b/>
        <sz val="10"/>
        <color indexed="10"/>
        <rFont val="Arial"/>
        <family val="2"/>
      </rPr>
      <t>1035</t>
    </r>
  </si>
  <si>
    <t>Updated CBCT ref dose values for TB2.0, added pelvis obese@140 kVp, changed personnel, added Image ID boxes; for registration Thorax CBCT now uses a 5 cm offset</t>
  </si>
  <si>
    <t>Updated Personnel</t>
  </si>
  <si>
    <t>Manuel Rodriguez Vega</t>
  </si>
  <si>
    <t>Report Approved by:</t>
  </si>
  <si>
    <t>Students</t>
  </si>
  <si>
    <t>Performed by:</t>
  </si>
  <si>
    <t>Added measurements "Performed by: " for each module to accommodate student participation in testing procedures</t>
  </si>
  <si>
    <t>(Note: field VMAT_cw is a mirror of VMAT_ccw for Rdg2)</t>
  </si>
  <si>
    <t>2.207a</t>
  </si>
  <si>
    <t>W.Ansbacher</t>
  </si>
  <si>
    <t>updated three PTW chamber factors and reverted PTW#6's Fc to the original 5.40</t>
  </si>
  <si>
    <t>Updated Couch coordinates for registration module(VRT 10.50cm, LNG 82.70cm, LAT 0.0cm) to be consistent w/morning QA; Arbutus results will now pass.</t>
  </si>
  <si>
    <r>
      <t>N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>-Ratio:</t>
    </r>
  </si>
  <si>
    <r>
      <t>N</t>
    </r>
    <r>
      <rPr>
        <b/>
        <vertAlign val="subscript"/>
        <sz val="10"/>
        <color indexed="10"/>
        <rFont val="Arial"/>
        <family val="2"/>
      </rPr>
      <t>D</t>
    </r>
    <r>
      <rPr>
        <b/>
        <sz val="10"/>
        <color indexed="10"/>
        <rFont val="Arial"/>
        <family val="2"/>
      </rPr>
      <t>-Ratio</t>
    </r>
  </si>
  <si>
    <t>Machine Label</t>
  </si>
  <si>
    <t>Chamber</t>
  </si>
  <si>
    <t>Photon Solid Water Factor, Fc</t>
  </si>
  <si>
    <t>Electron Solid Water Factor, Fc</t>
  </si>
  <si>
    <t>Updated ND and Fc values based on measurements from March 2018. Fc values are now for the secondary standard chamber (PTW#7) and the Markus chamber (MKS#1). Also, updates to personnel and corporate logo.</t>
  </si>
  <si>
    <t>Model</t>
  </si>
  <si>
    <t>Truebeam</t>
  </si>
  <si>
    <t>Updated tolerances for RapidArc Tests to 4.5% for all tests (this value ~ 3 SD%)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</si>
  <si>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Collimator 0°, Couch 0°, SSD100 in solid water, </t>
    </r>
    <r>
      <rPr>
        <b/>
        <sz val="10"/>
        <rFont val="Arial"/>
        <family val="2"/>
      </rPr>
      <t xml:space="preserve">Depth (6E, </t>
    </r>
    <r>
      <rPr>
        <b/>
        <sz val="10"/>
        <color indexed="10"/>
        <rFont val="Arial"/>
        <family val="2"/>
      </rPr>
      <t>1.5cm</t>
    </r>
    <r>
      <rPr>
        <b/>
        <sz val="10"/>
        <rFont val="Arial"/>
        <family val="2"/>
      </rPr>
      <t xml:space="preserve">; 9-20E, </t>
    </r>
    <r>
      <rPr>
        <b/>
        <sz val="10"/>
        <color indexed="10"/>
        <rFont val="Arial"/>
        <family val="2"/>
      </rPr>
      <t>2.5cm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>, Backscatter 5cm, Applicator A10 w/std insert</t>
    </r>
  </si>
  <si>
    <r>
      <t xml:space="preserve">             SAD100 in solid water, Depth </t>
    </r>
    <r>
      <rPr>
        <sz val="10"/>
        <color indexed="10"/>
        <rFont val="Arial"/>
        <family val="2"/>
      </rPr>
      <t>10cm</t>
    </r>
    <r>
      <rPr>
        <sz val="10"/>
        <rFont val="Arial"/>
        <family val="2"/>
      </rPr>
      <t>, Backscatter 5cm solid water slab, Field Size 10x10cm</t>
    </r>
  </si>
  <si>
    <t>X (%)</t>
  </si>
  <si>
    <t>10XFFF Open Fld Flatness:</t>
  </si>
  <si>
    <t>Y (%)</t>
  </si>
  <si>
    <t>n.b. test checks that 10XFFF calibrated at 150 cm SID</t>
  </si>
  <si>
    <t>Added 10XFFF open field flatness test to check MV imager calibrated at correct SID</t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</si>
  <si>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</si>
  <si>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t>(P/F)</t>
  </si>
  <si>
    <t>review these instructions at console and edit</t>
  </si>
  <si>
    <t>Large</t>
  </si>
  <si>
    <r>
      <rPr>
        <b/>
        <sz val="10"/>
        <rFont val="Arial"/>
        <family val="2"/>
      </rPr>
      <t>Physics QA Template (60 kVp or 60 kVp Sm FS, Ti filter)</t>
    </r>
    <r>
      <rPr>
        <sz val="10"/>
        <rFont val="Arial"/>
        <family val="2"/>
      </rPr>
      <t>, KV blades X1=X2=Y1=Y2=10.0cm</t>
    </r>
  </si>
  <si>
    <r>
      <t xml:space="preserve">Select </t>
    </r>
    <r>
      <rPr>
        <b/>
        <sz val="10"/>
        <rFont val="Arial"/>
        <family val="2"/>
      </rPr>
      <t xml:space="preserve">Physics QA Template 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 xml:space="preserve">60 kVp - large focal spot, no filter) , with Blade Tracking ON </t>
    </r>
  </si>
  <si>
    <t>ANALYSIS: Use PipsPro Software and flood field acquired in section 7.1</t>
  </si>
  <si>
    <t>Lg FS</t>
  </si>
  <si>
    <t>Sm FS</t>
  </si>
  <si>
    <t>Mehran Goharian</t>
  </si>
  <si>
    <t>ANALYSIS: Visual inspection using e.g. Acquisition Workstation or PortalQA profile tool</t>
  </si>
  <si>
    <t>ANALYSIS: Use PipsPro v.5.4 Software.</t>
  </si>
  <si>
    <t>Comments (Image artefacts)</t>
  </si>
  <si>
    <r>
      <rPr>
        <b/>
        <sz val="10"/>
        <rFont val="Arial"/>
        <family val="2"/>
      </rPr>
      <t>Physics QA Template (75 kVp or 125 kVp)</t>
    </r>
    <r>
      <rPr>
        <sz val="10"/>
        <rFont val="Arial"/>
        <family val="2"/>
      </rPr>
      <t>; KV blades X1=X2=Y1=Y2=10.0cm; Diavolt settings: Application Rad/Flu, W 3.0 Al</t>
    </r>
  </si>
  <si>
    <t>Overall Machine Compliance:</t>
  </si>
  <si>
    <t>Output dB Updated:</t>
  </si>
  <si>
    <t>Output Trending database</t>
  </si>
  <si>
    <t>Clay Lindsay</t>
  </si>
  <si>
    <t>Changed ref values for 60kVp, sm focal spot, Ti filter planar image quality; Updated physics qa templates for kV planar acquisitions; separate DICOMRT files for 7EPI - now 7A_LITERAD, 7B_EPI. RPM pref period changed from 5.3 s to 5.1 s. Added Output Trending dB review check; fixed completion date cell assignment.</t>
  </si>
  <si>
    <t>Corrected NRC Nd value from 5.376 to 5.383 cGy/nC</t>
  </si>
  <si>
    <t>Fixed bug, not writing to MonthlyOP speadsheet correctly.</t>
  </si>
  <si>
    <t>Dominique Fortin</t>
  </si>
  <si>
    <t>xlsm</t>
  </si>
  <si>
    <t>Updated personnel</t>
  </si>
  <si>
    <t>Elena Timakova</t>
  </si>
  <si>
    <t>Conor Smith</t>
  </si>
  <si>
    <t>Matt Gwilliam</t>
  </si>
  <si>
    <t>Susan Dang</t>
  </si>
  <si>
    <t>Kyle Bromma</t>
  </si>
  <si>
    <t>Updated Nd for secondary standard chamber, personnel</t>
  </si>
  <si>
    <t>Lesley Baldwin</t>
  </si>
  <si>
    <t>Roja Zakariaee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</si>
</sst>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"/>
    <numFmt numFmtId="165" formatCode="0.0000"/>
    <numFmt numFmtId="166" formatCode="0.0"/>
    <numFmt numFmtId="167" formatCode="dd\-mmm\-yyyy"/>
    <numFmt numFmtId="168" formatCode="dd/mmm/yyyy"/>
  </numFmts>
  <fonts count="44" x14ac:knownFonts="1">
    <font>
      <sz val="10"/>
      <name val="Arial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vertAlign val="subscript"/>
      <sz val="12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b/>
      <sz val="10"/>
      <color indexed="10"/>
      <name val="Arial"/>
      <family val="2"/>
    </font>
    <font>
      <b/>
      <vertAlign val="subscript"/>
      <sz val="10"/>
      <name val="Arial"/>
      <family val="2"/>
    </font>
    <font>
      <i/>
      <sz val="9"/>
      <name val="Arial"/>
      <family val="2"/>
    </font>
    <font>
      <sz val="10"/>
      <name val="Calibri"/>
      <family val="2"/>
    </font>
    <font>
      <i/>
      <sz val="8"/>
      <color indexed="10"/>
      <name val="Arial"/>
      <family val="2"/>
    </font>
    <font>
      <i/>
      <sz val="12"/>
      <name val="Arial"/>
      <family val="2"/>
    </font>
    <font>
      <i/>
      <u/>
      <sz val="10"/>
      <name val="Arial"/>
      <family val="2"/>
    </font>
    <font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name val="Arial"/>
      <family val="2"/>
    </font>
    <font>
      <vertAlign val="subscript"/>
      <sz val="12"/>
      <name val="Arial"/>
      <family val="2"/>
    </font>
    <font>
      <b/>
      <vertAlign val="subscript"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i/>
      <sz val="10"/>
      <color rgb="FF0070C0"/>
      <name val="Arial"/>
      <family val="2"/>
    </font>
    <font>
      <b/>
      <sz val="12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b/>
      <i/>
      <sz val="11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rgb="FFFF0000"/>
      <name val="Arial"/>
      <family val="2"/>
    </font>
    <font>
      <sz val="10"/>
      <color theme="1"/>
      <name val="Arial"/>
      <family val="2"/>
    </font>
    <font>
      <b/>
      <sz val="9"/>
      <color rgb="FFFF0000"/>
      <name val="Arial"/>
      <family val="2"/>
    </font>
    <font>
      <i/>
      <sz val="10"/>
      <color rgb="FFFF0000"/>
      <name val="Arial"/>
      <family val="2"/>
    </font>
    <font>
      <i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42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7">
    <xf numFmtId="0" fontId="0" fillId="0" borderId="0" xfId="0"/>
    <xf numFmtId="0" fontId="0" fillId="0" borderId="0" xfId="0" applyBorder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Border="1"/>
    <xf numFmtId="0" fontId="0" fillId="0" borderId="0" xfId="0" quotePrefix="1" applyBorder="1" applyAlignment="1">
      <alignment horizontal="center"/>
    </xf>
    <xf numFmtId="0" fontId="12" fillId="0" borderId="0" xfId="0" applyFont="1" applyAlignment="1">
      <alignment horizontal="center"/>
    </xf>
    <xf numFmtId="0" fontId="0" fillId="3" borderId="0" xfId="0" applyFill="1" applyBorder="1"/>
    <xf numFmtId="0" fontId="1" fillId="3" borderId="0" xfId="0" applyFont="1" applyFill="1" applyBorder="1" applyAlignment="1">
      <alignment horizontal="left"/>
    </xf>
    <xf numFmtId="0" fontId="4" fillId="3" borderId="0" xfId="0" applyFont="1" applyFill="1" applyBorder="1" applyAlignment="1"/>
    <xf numFmtId="0" fontId="5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7" fillId="3" borderId="0" xfId="0" applyFont="1" applyFill="1" applyBorder="1"/>
    <xf numFmtId="0" fontId="6" fillId="3" borderId="0" xfId="0" applyFont="1" applyFill="1" applyBorder="1" applyAlignment="1">
      <alignment horizontal="right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5" fillId="3" borderId="0" xfId="0" applyFont="1" applyFill="1" applyBorder="1"/>
    <xf numFmtId="0" fontId="8" fillId="3" borderId="9" xfId="0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Alignment="1">
      <alignment horizontal="right"/>
    </xf>
    <xf numFmtId="164" fontId="8" fillId="3" borderId="9" xfId="0" applyNumberFormat="1" applyFont="1" applyFill="1" applyBorder="1" applyAlignment="1" applyProtection="1">
      <alignment horizontal="center"/>
    </xf>
    <xf numFmtId="0" fontId="8" fillId="3" borderId="0" xfId="0" applyFont="1" applyFill="1" applyBorder="1" applyAlignment="1">
      <alignment horizontal="right"/>
    </xf>
    <xf numFmtId="0" fontId="8" fillId="3" borderId="9" xfId="0" applyFont="1" applyFill="1" applyBorder="1" applyAlignment="1" applyProtection="1">
      <alignment horizontal="center" shrinkToFit="1"/>
      <protection locked="0"/>
    </xf>
    <xf numFmtId="0" fontId="8" fillId="3" borderId="10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shrinkToFit="1"/>
    </xf>
    <xf numFmtId="0" fontId="0" fillId="3" borderId="11" xfId="0" applyFill="1" applyBorder="1"/>
    <xf numFmtId="0" fontId="0" fillId="3" borderId="12" xfId="0" applyFill="1" applyBorder="1" applyAlignment="1">
      <alignment horizontal="center"/>
    </xf>
    <xf numFmtId="0" fontId="0" fillId="3" borderId="13" xfId="0" applyFill="1" applyBorder="1"/>
    <xf numFmtId="0" fontId="6" fillId="3" borderId="9" xfId="0" applyFont="1" applyFill="1" applyBorder="1" applyAlignment="1" applyProtection="1">
      <alignment horizontal="center"/>
    </xf>
    <xf numFmtId="0" fontId="0" fillId="3" borderId="9" xfId="0" applyFill="1" applyBorder="1" applyAlignment="1">
      <alignment horizontal="center"/>
    </xf>
    <xf numFmtId="2" fontId="8" fillId="3" borderId="9" xfId="0" applyNumberFormat="1" applyFont="1" applyFill="1" applyBorder="1" applyAlignment="1" applyProtection="1">
      <alignment horizontal="center"/>
      <protection locked="0"/>
    </xf>
    <xf numFmtId="2" fontId="0" fillId="3" borderId="9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6" fillId="3" borderId="12" xfId="0" applyFont="1" applyFill="1" applyBorder="1" applyAlignment="1" applyProtection="1">
      <alignment horizontal="center"/>
    </xf>
    <xf numFmtId="2" fontId="0" fillId="3" borderId="12" xfId="0" applyNumberFormat="1" applyFill="1" applyBorder="1" applyAlignment="1">
      <alignment horizontal="center"/>
    </xf>
    <xf numFmtId="166" fontId="0" fillId="3" borderId="12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2" xfId="0" applyFill="1" applyBorder="1"/>
    <xf numFmtId="0" fontId="0" fillId="3" borderId="9" xfId="0" applyFill="1" applyBorder="1" applyAlignment="1" applyProtection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3" borderId="12" xfId="0" applyFill="1" applyBorder="1" applyAlignment="1" applyProtection="1">
      <alignment horizontal="center"/>
    </xf>
    <xf numFmtId="164" fontId="8" fillId="3" borderId="12" xfId="0" applyNumberFormat="1" applyFont="1" applyFill="1" applyBorder="1" applyAlignment="1" applyProtection="1">
      <alignment horizontal="center"/>
      <protection locked="0"/>
    </xf>
    <xf numFmtId="0" fontId="3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2" fontId="8" fillId="3" borderId="12" xfId="0" applyNumberFormat="1" applyFont="1" applyFill="1" applyBorder="1" applyAlignment="1" applyProtection="1">
      <alignment horizontal="center"/>
      <protection locked="0"/>
    </xf>
    <xf numFmtId="0" fontId="6" fillId="3" borderId="9" xfId="0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6" fillId="3" borderId="14" xfId="0" applyFont="1" applyFill="1" applyBorder="1" applyAlignment="1">
      <alignment horizontal="center"/>
    </xf>
    <xf numFmtId="166" fontId="8" fillId="3" borderId="9" xfId="0" applyNumberFormat="1" applyFont="1" applyFill="1" applyBorder="1" applyAlignment="1" applyProtection="1">
      <alignment horizontal="center"/>
      <protection locked="0"/>
    </xf>
    <xf numFmtId="0" fontId="0" fillId="3" borderId="14" xfId="0" applyFill="1" applyBorder="1" applyAlignment="1">
      <alignment horizontal="center" shrinkToFit="1"/>
    </xf>
    <xf numFmtId="0" fontId="0" fillId="3" borderId="15" xfId="0" applyFill="1" applyBorder="1"/>
    <xf numFmtId="0" fontId="8" fillId="3" borderId="11" xfId="0" applyFont="1" applyFill="1" applyBorder="1" applyAlignment="1">
      <alignment horizontal="center"/>
    </xf>
    <xf numFmtId="0" fontId="0" fillId="3" borderId="11" xfId="0" applyFill="1" applyBorder="1" applyAlignment="1">
      <alignment horizontal="center" shrinkToFit="1"/>
    </xf>
    <xf numFmtId="0" fontId="8" fillId="3" borderId="0" xfId="0" applyFont="1" applyFill="1" applyBorder="1" applyAlignment="1">
      <alignment horizontal="center" shrinkToFit="1"/>
    </xf>
    <xf numFmtId="0" fontId="0" fillId="3" borderId="0" xfId="0" applyFill="1" applyBorder="1" applyAlignment="1">
      <alignment horizontal="center" shrinkToFit="1"/>
    </xf>
    <xf numFmtId="0" fontId="0" fillId="3" borderId="14" xfId="0" applyFill="1" applyBorder="1"/>
    <xf numFmtId="0" fontId="8" fillId="3" borderId="16" xfId="0" applyFont="1" applyFill="1" applyBorder="1" applyAlignment="1">
      <alignment horizontal="center"/>
    </xf>
    <xf numFmtId="0" fontId="8" fillId="0" borderId="0" xfId="0" applyFont="1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64" fontId="8" fillId="3" borderId="9" xfId="0" applyNumberFormat="1" applyFont="1" applyFill="1" applyBorder="1" applyAlignment="1">
      <alignment horizontal="center"/>
    </xf>
    <xf numFmtId="0" fontId="5" fillId="3" borderId="9" xfId="0" applyFont="1" applyFill="1" applyBorder="1" applyAlignment="1" applyProtection="1">
      <alignment horizontal="center"/>
      <protection locked="0"/>
    </xf>
    <xf numFmtId="0" fontId="14" fillId="3" borderId="17" xfId="0" applyFont="1" applyFill="1" applyBorder="1"/>
    <xf numFmtId="166" fontId="0" fillId="0" borderId="0" xfId="0" applyNumberFormat="1" applyAlignment="1">
      <alignment horizontal="left"/>
    </xf>
    <xf numFmtId="15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2" fontId="0" fillId="3" borderId="9" xfId="0" applyNumberFormat="1" applyFill="1" applyBorder="1" applyAlignment="1" applyProtection="1">
      <alignment horizontal="center"/>
    </xf>
    <xf numFmtId="0" fontId="0" fillId="3" borderId="15" xfId="0" applyFill="1" applyBorder="1" applyAlignment="1"/>
    <xf numFmtId="0" fontId="6" fillId="3" borderId="0" xfId="0" applyFont="1" applyFill="1" applyBorder="1"/>
    <xf numFmtId="0" fontId="0" fillId="4" borderId="0" xfId="0" applyFill="1" applyBorder="1"/>
    <xf numFmtId="2" fontId="8" fillId="3" borderId="0" xfId="0" applyNumberFormat="1" applyFont="1" applyFill="1" applyBorder="1" applyAlignment="1" applyProtection="1">
      <alignment horizontal="center"/>
      <protection locked="0"/>
    </xf>
    <xf numFmtId="2" fontId="0" fillId="3" borderId="0" xfId="0" applyNumberForma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6" fillId="0" borderId="0" xfId="0" applyFont="1" applyAlignment="1">
      <alignment horizontal="left"/>
    </xf>
    <xf numFmtId="2" fontId="6" fillId="3" borderId="0" xfId="0" applyNumberFormat="1" applyFon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/>
    <xf numFmtId="0" fontId="6" fillId="3" borderId="0" xfId="0" applyFont="1" applyFill="1" applyBorder="1" applyAlignment="1">
      <alignment horizontal="left"/>
    </xf>
    <xf numFmtId="0" fontId="0" fillId="0" borderId="18" xfId="0" applyBorder="1" applyAlignment="1">
      <alignment horizontal="left"/>
    </xf>
    <xf numFmtId="0" fontId="17" fillId="0" borderId="19" xfId="0" applyFont="1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Fill="1" applyBorder="1" applyAlignment="1">
      <alignment horizontal="left"/>
    </xf>
    <xf numFmtId="0" fontId="7" fillId="0" borderId="19" xfId="0" applyFont="1" applyBorder="1" applyAlignment="1">
      <alignment horizontal="left"/>
    </xf>
    <xf numFmtId="0" fontId="6" fillId="0" borderId="19" xfId="0" applyFont="1" applyBorder="1" applyAlignment="1">
      <alignment horizontal="left"/>
    </xf>
    <xf numFmtId="0" fontId="0" fillId="3" borderId="9" xfId="0" quotePrefix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166" fontId="8" fillId="3" borderId="0" xfId="0" applyNumberFormat="1" applyFont="1" applyFill="1" applyBorder="1" applyAlignment="1" applyProtection="1">
      <alignment horizontal="center"/>
    </xf>
    <xf numFmtId="166" fontId="32" fillId="3" borderId="9" xfId="0" applyNumberFormat="1" applyFont="1" applyFill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0" fontId="6" fillId="3" borderId="14" xfId="0" applyFont="1" applyFill="1" applyBorder="1" applyAlignment="1">
      <alignment horizontal="center" shrinkToFit="1"/>
    </xf>
    <xf numFmtId="0" fontId="3" fillId="3" borderId="9" xfId="0" applyFon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/>
    <xf numFmtId="164" fontId="8" fillId="3" borderId="9" xfId="0" applyNumberFormat="1" applyFont="1" applyFill="1" applyBorder="1" applyAlignment="1" applyProtection="1">
      <alignment horizontal="center"/>
      <protection locked="0"/>
    </xf>
    <xf numFmtId="166" fontId="3" fillId="3" borderId="9" xfId="0" applyNumberFormat="1" applyFont="1" applyFill="1" applyBorder="1" applyAlignment="1" applyProtection="1">
      <alignment horizontal="center"/>
    </xf>
    <xf numFmtId="0" fontId="6" fillId="0" borderId="0" xfId="0" applyFont="1"/>
    <xf numFmtId="166" fontId="3" fillId="3" borderId="9" xfId="0" applyNumberFormat="1" applyFont="1" applyFill="1" applyBorder="1" applyAlignment="1" applyProtection="1">
      <alignment horizontal="center"/>
      <protection locked="0"/>
    </xf>
    <xf numFmtId="0" fontId="5" fillId="5" borderId="8" xfId="0" applyFont="1" applyFill="1" applyBorder="1"/>
    <xf numFmtId="0" fontId="0" fillId="5" borderId="8" xfId="0" applyFill="1" applyBorder="1"/>
    <xf numFmtId="0" fontId="8" fillId="5" borderId="8" xfId="0" applyFont="1" applyFill="1" applyBorder="1"/>
    <xf numFmtId="0" fontId="7" fillId="3" borderId="0" xfId="0" applyFont="1" applyFill="1" applyBorder="1" applyAlignment="1">
      <alignment horizontal="right"/>
    </xf>
    <xf numFmtId="0" fontId="6" fillId="0" borderId="0" xfId="0" applyFont="1" applyBorder="1"/>
    <xf numFmtId="0" fontId="6" fillId="4" borderId="0" xfId="0" applyFont="1" applyFill="1" applyBorder="1"/>
    <xf numFmtId="0" fontId="6" fillId="3" borderId="9" xfId="0" quotePrefix="1" applyFont="1" applyFill="1" applyBorder="1" applyAlignment="1">
      <alignment horizontal="center"/>
    </xf>
    <xf numFmtId="0" fontId="6" fillId="4" borderId="0" xfId="0" applyFont="1" applyFill="1" applyBorder="1" applyAlignment="1">
      <alignment horizontal="right"/>
    </xf>
    <xf numFmtId="166" fontId="0" fillId="3" borderId="15" xfId="0" applyNumberForma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66" fontId="6" fillId="3" borderId="0" xfId="0" applyNumberFormat="1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166" fontId="6" fillId="3" borderId="9" xfId="0" applyNumberFormat="1" applyFont="1" applyFill="1" applyBorder="1" applyAlignment="1" applyProtection="1">
      <alignment horizontal="center"/>
    </xf>
    <xf numFmtId="0" fontId="6" fillId="4" borderId="9" xfId="0" applyFont="1" applyFill="1" applyBorder="1" applyAlignment="1" applyProtection="1">
      <alignment horizontal="center"/>
    </xf>
    <xf numFmtId="2" fontId="0" fillId="0" borderId="0" xfId="0" applyNumberFormat="1" applyAlignment="1">
      <alignment horizontal="left"/>
    </xf>
    <xf numFmtId="0" fontId="7" fillId="3" borderId="0" xfId="0" applyFont="1" applyFill="1" applyBorder="1" applyAlignment="1">
      <alignment horizontal="left"/>
    </xf>
    <xf numFmtId="1" fontId="3" fillId="3" borderId="9" xfId="0" applyNumberFormat="1" applyFont="1" applyFill="1" applyBorder="1" applyAlignment="1">
      <alignment horizontal="center"/>
    </xf>
    <xf numFmtId="166" fontId="3" fillId="3" borderId="9" xfId="0" applyNumberFormat="1" applyFont="1" applyFill="1" applyBorder="1" applyAlignment="1">
      <alignment horizontal="center"/>
    </xf>
    <xf numFmtId="0" fontId="3" fillId="3" borderId="9" xfId="0" applyFont="1" applyFill="1" applyBorder="1" applyAlignment="1" applyProtection="1">
      <alignment horizontal="center"/>
      <protection locked="0"/>
    </xf>
    <xf numFmtId="0" fontId="6" fillId="3" borderId="1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15" fontId="6" fillId="0" borderId="0" xfId="0" applyNumberFormat="1" applyFont="1" applyAlignment="1">
      <alignment horizontal="left"/>
    </xf>
    <xf numFmtId="164" fontId="6" fillId="3" borderId="9" xfId="0" applyNumberFormat="1" applyFont="1" applyFill="1" applyBorder="1" applyAlignment="1" applyProtection="1">
      <alignment horizontal="center"/>
    </xf>
    <xf numFmtId="166" fontId="3" fillId="3" borderId="0" xfId="0" applyNumberFormat="1" applyFont="1" applyFill="1" applyBorder="1" applyAlignment="1" applyProtection="1">
      <alignment horizontal="center"/>
    </xf>
    <xf numFmtId="0" fontId="3" fillId="0" borderId="0" xfId="0" applyFont="1" applyAlignment="1">
      <alignment horizontal="left" shrinkToFit="1"/>
    </xf>
    <xf numFmtId="0" fontId="3" fillId="0" borderId="0" xfId="0" applyFont="1" applyAlignment="1">
      <alignment shrinkToFit="1"/>
    </xf>
    <xf numFmtId="0" fontId="3" fillId="0" borderId="0" xfId="0" applyFont="1" applyFill="1" applyBorder="1" applyAlignment="1">
      <alignment horizontal="left" shrinkToFit="1"/>
    </xf>
    <xf numFmtId="0" fontId="24" fillId="3" borderId="0" xfId="0" applyFont="1" applyFill="1" applyBorder="1"/>
    <xf numFmtId="0" fontId="0" fillId="0" borderId="19" xfId="0" applyBorder="1"/>
    <xf numFmtId="164" fontId="3" fillId="3" borderId="9" xfId="0" applyNumberFormat="1" applyFont="1" applyFill="1" applyBorder="1" applyAlignment="1" applyProtection="1">
      <alignment horizontal="center"/>
      <protection locked="0"/>
    </xf>
    <xf numFmtId="0" fontId="6" fillId="3" borderId="20" xfId="0" applyFont="1" applyFill="1" applyBorder="1" applyAlignment="1">
      <alignment horizontal="right"/>
    </xf>
    <xf numFmtId="2" fontId="3" fillId="3" borderId="21" xfId="0" applyNumberFormat="1" applyFont="1" applyFill="1" applyBorder="1" applyAlignment="1" applyProtection="1">
      <alignment horizontal="center"/>
      <protection locked="0"/>
    </xf>
    <xf numFmtId="2" fontId="6" fillId="3" borderId="16" xfId="0" applyNumberFormat="1" applyFont="1" applyFill="1" applyBorder="1" applyAlignment="1">
      <alignment horizontal="center"/>
    </xf>
    <xf numFmtId="1" fontId="6" fillId="3" borderId="16" xfId="0" applyNumberFormat="1" applyFont="1" applyFill="1" applyBorder="1" applyAlignment="1">
      <alignment horizontal="center"/>
    </xf>
    <xf numFmtId="1" fontId="6" fillId="3" borderId="9" xfId="0" applyNumberFormat="1" applyFont="1" applyFill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  <xf numFmtId="166" fontId="6" fillId="3" borderId="9" xfId="0" applyNumberFormat="1" applyFont="1" applyFill="1" applyBorder="1" applyAlignment="1">
      <alignment horizontal="center"/>
    </xf>
    <xf numFmtId="166" fontId="3" fillId="3" borderId="2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left"/>
    </xf>
    <xf numFmtId="167" fontId="0" fillId="6" borderId="0" xfId="0" applyNumberFormat="1" applyFill="1" applyAlignment="1">
      <alignment horizontal="left"/>
    </xf>
    <xf numFmtId="167" fontId="0" fillId="0" borderId="0" xfId="0" applyNumberFormat="1" applyAlignment="1">
      <alignment horizontal="left"/>
    </xf>
    <xf numFmtId="167" fontId="3" fillId="0" borderId="0" xfId="0" applyNumberFormat="1" applyFont="1" applyAlignment="1">
      <alignment horizontal="left"/>
    </xf>
    <xf numFmtId="0" fontId="6" fillId="3" borderId="22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left"/>
    </xf>
    <xf numFmtId="0" fontId="34" fillId="5" borderId="8" xfId="0" applyFont="1" applyFill="1" applyBorder="1"/>
    <xf numFmtId="0" fontId="35" fillId="3" borderId="0" xfId="0" applyFont="1" applyFill="1" applyBorder="1"/>
    <xf numFmtId="0" fontId="35" fillId="5" borderId="8" xfId="0" applyFont="1" applyFill="1" applyBorder="1"/>
    <xf numFmtId="9" fontId="6" fillId="3" borderId="14" xfId="0" applyNumberFormat="1" applyFont="1" applyFill="1" applyBorder="1" applyAlignment="1">
      <alignment horizontal="center" shrinkToFit="1"/>
    </xf>
    <xf numFmtId="2" fontId="3" fillId="3" borderId="9" xfId="0" applyNumberFormat="1" applyFont="1" applyFill="1" applyBorder="1" applyAlignment="1" applyProtection="1">
      <alignment horizontal="center"/>
      <protection locked="0"/>
    </xf>
    <xf numFmtId="2" fontId="6" fillId="3" borderId="9" xfId="0" applyNumberFormat="1" applyFont="1" applyFill="1" applyBorder="1" applyAlignment="1" applyProtection="1">
      <alignment horizontal="center"/>
    </xf>
    <xf numFmtId="164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10" xfId="0" applyFont="1" applyFill="1" applyBorder="1" applyAlignment="1">
      <alignment horizontal="center" shrinkToFit="1"/>
    </xf>
    <xf numFmtId="0" fontId="36" fillId="3" borderId="9" xfId="0" applyFont="1" applyFill="1" applyBorder="1" applyAlignment="1">
      <alignment horizontal="center"/>
    </xf>
    <xf numFmtId="0" fontId="36" fillId="3" borderId="9" xfId="0" applyFont="1" applyFill="1" applyBorder="1" applyAlignment="1" applyProtection="1">
      <alignment horizontal="center"/>
    </xf>
    <xf numFmtId="166" fontId="36" fillId="3" borderId="9" xfId="0" applyNumberFormat="1" applyFont="1" applyFill="1" applyBorder="1" applyAlignment="1" applyProtection="1">
      <alignment horizontal="center"/>
    </xf>
    <xf numFmtId="0" fontId="3" fillId="4" borderId="9" xfId="0" applyFont="1" applyFill="1" applyBorder="1" applyAlignment="1">
      <alignment horizontal="center"/>
    </xf>
    <xf numFmtId="166" fontId="6" fillId="4" borderId="9" xfId="0" applyNumberFormat="1" applyFont="1" applyFill="1" applyBorder="1" applyAlignment="1">
      <alignment horizontal="center"/>
    </xf>
    <xf numFmtId="0" fontId="34" fillId="4" borderId="0" xfId="0" applyFont="1" applyFill="1" applyBorder="1"/>
    <xf numFmtId="9" fontId="0" fillId="3" borderId="12" xfId="0" applyNumberFormat="1" applyFill="1" applyBorder="1" applyAlignment="1">
      <alignment horizontal="center"/>
    </xf>
    <xf numFmtId="2" fontId="6" fillId="0" borderId="0" xfId="0" applyNumberFormat="1" applyFont="1" applyAlignment="1">
      <alignment horizontal="left"/>
    </xf>
    <xf numFmtId="0" fontId="5" fillId="4" borderId="0" xfId="0" applyFont="1" applyFill="1" applyBorder="1"/>
    <xf numFmtId="0" fontId="8" fillId="4" borderId="0" xfId="0" applyFont="1" applyFill="1" applyBorder="1"/>
    <xf numFmtId="0" fontId="35" fillId="4" borderId="0" xfId="0" applyFont="1" applyFill="1" applyBorder="1"/>
    <xf numFmtId="0" fontId="3" fillId="4" borderId="0" xfId="0" applyFont="1" applyFill="1" applyBorder="1"/>
    <xf numFmtId="0" fontId="3" fillId="3" borderId="9" xfId="0" applyFont="1" applyFill="1" applyBorder="1" applyAlignment="1" applyProtection="1">
      <alignment horizontal="center"/>
    </xf>
    <xf numFmtId="0" fontId="37" fillId="3" borderId="0" xfId="0" applyFont="1" applyFill="1" applyBorder="1"/>
    <xf numFmtId="0" fontId="3" fillId="3" borderId="0" xfId="0" applyFont="1" applyFill="1" applyBorder="1" applyAlignment="1">
      <alignment horizontal="right"/>
    </xf>
    <xf numFmtId="0" fontId="8" fillId="3" borderId="23" xfId="0" applyFont="1" applyFill="1" applyBorder="1" applyAlignment="1" applyProtection="1">
      <alignment horizontal="center"/>
      <protection locked="0"/>
    </xf>
    <xf numFmtId="0" fontId="0" fillId="0" borderId="5" xfId="0" applyBorder="1"/>
    <xf numFmtId="0" fontId="36" fillId="0" borderId="0" xfId="0" applyFont="1"/>
    <xf numFmtId="0" fontId="36" fillId="0" borderId="0" xfId="0" applyFont="1" applyAlignment="1">
      <alignment horizontal="left"/>
    </xf>
    <xf numFmtId="0" fontId="36" fillId="0" borderId="0" xfId="0" applyFont="1" applyAlignment="1">
      <alignment horizontal="center"/>
    </xf>
    <xf numFmtId="0" fontId="38" fillId="0" borderId="0" xfId="0" applyFont="1" applyAlignment="1">
      <alignment horizontal="left"/>
    </xf>
    <xf numFmtId="0" fontId="38" fillId="0" borderId="0" xfId="0" applyFont="1"/>
    <xf numFmtId="2" fontId="38" fillId="0" borderId="0" xfId="0" applyNumberFormat="1" applyFont="1" applyAlignment="1">
      <alignment horizontal="left"/>
    </xf>
    <xf numFmtId="0" fontId="8" fillId="3" borderId="12" xfId="0" applyFont="1" applyFill="1" applyBorder="1" applyAlignment="1" applyProtection="1">
      <alignment horizontal="center" vertical="center" shrinkToFit="1"/>
      <protection locked="0"/>
    </xf>
    <xf numFmtId="0" fontId="8" fillId="3" borderId="9" xfId="0" applyFont="1" applyFill="1" applyBorder="1" applyAlignment="1" applyProtection="1">
      <alignment horizontal="center" vertical="center"/>
      <protection locked="0"/>
    </xf>
    <xf numFmtId="0" fontId="33" fillId="3" borderId="0" xfId="0" applyFont="1" applyFill="1" applyBorder="1"/>
    <xf numFmtId="0" fontId="7" fillId="5" borderId="8" xfId="0" applyFont="1" applyFill="1" applyBorder="1" applyAlignment="1">
      <alignment horizontal="right"/>
    </xf>
    <xf numFmtId="164" fontId="6" fillId="0" borderId="0" xfId="0" applyNumberFormat="1" applyFont="1" applyAlignment="1">
      <alignment horizontal="left"/>
    </xf>
    <xf numFmtId="164" fontId="6" fillId="6" borderId="0" xfId="0" applyNumberFormat="1" applyFont="1" applyFill="1" applyAlignment="1">
      <alignment horizontal="left"/>
    </xf>
    <xf numFmtId="15" fontId="0" fillId="0" borderId="0" xfId="0" applyNumberFormat="1" applyFont="1" applyAlignment="1">
      <alignment horizontal="left"/>
    </xf>
    <xf numFmtId="0" fontId="6" fillId="0" borderId="0" xfId="0" quotePrefix="1" applyFont="1"/>
    <xf numFmtId="166" fontId="0" fillId="3" borderId="9" xfId="0" applyNumberFormat="1" applyFill="1" applyBorder="1" applyAlignment="1" applyProtection="1">
      <alignment horizontal="center"/>
    </xf>
    <xf numFmtId="0" fontId="0" fillId="7" borderId="24" xfId="0" applyFill="1" applyBorder="1"/>
    <xf numFmtId="0" fontId="5" fillId="7" borderId="25" xfId="0" applyFont="1" applyFill="1" applyBorder="1"/>
    <xf numFmtId="0" fontId="0" fillId="7" borderId="25" xfId="0" applyFill="1" applyBorder="1"/>
    <xf numFmtId="0" fontId="8" fillId="7" borderId="25" xfId="0" applyFont="1" applyFill="1" applyBorder="1"/>
    <xf numFmtId="0" fontId="0" fillId="7" borderId="26" xfId="0" applyFill="1" applyBorder="1"/>
    <xf numFmtId="0" fontId="0" fillId="7" borderId="27" xfId="0" applyFill="1" applyBorder="1"/>
    <xf numFmtId="0" fontId="8" fillId="7" borderId="0" xfId="0" applyFont="1" applyFill="1" applyBorder="1"/>
    <xf numFmtId="0" fontId="0" fillId="7" borderId="0" xfId="0" applyFill="1"/>
    <xf numFmtId="0" fontId="3" fillId="7" borderId="0" xfId="0" applyFont="1" applyFill="1" applyBorder="1"/>
    <xf numFmtId="0" fontId="0" fillId="7" borderId="0" xfId="0" applyFill="1" applyBorder="1"/>
    <xf numFmtId="0" fontId="0" fillId="7" borderId="28" xfId="0" applyFill="1" applyBorder="1"/>
    <xf numFmtId="0" fontId="5" fillId="7" borderId="0" xfId="0" applyFont="1" applyFill="1" applyBorder="1"/>
    <xf numFmtId="0" fontId="0" fillId="7" borderId="29" xfId="0" applyFill="1" applyBorder="1"/>
    <xf numFmtId="0" fontId="0" fillId="7" borderId="30" xfId="0" applyFill="1" applyBorder="1"/>
    <xf numFmtId="0" fontId="0" fillId="7" borderId="31" xfId="0" applyFill="1" applyBorder="1"/>
    <xf numFmtId="0" fontId="0" fillId="8" borderId="0" xfId="0" applyFill="1" applyBorder="1"/>
    <xf numFmtId="0" fontId="6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66" fontId="6" fillId="8" borderId="0" xfId="0" applyNumberFormat="1" applyFont="1" applyFill="1" applyBorder="1" applyAlignment="1">
      <alignment horizontal="center"/>
    </xf>
    <xf numFmtId="0" fontId="0" fillId="3" borderId="24" xfId="0" applyFill="1" applyBorder="1"/>
    <xf numFmtId="0" fontId="0" fillId="3" borderId="25" xfId="0" applyFill="1" applyBorder="1"/>
    <xf numFmtId="0" fontId="0" fillId="4" borderId="26" xfId="0" applyFill="1" applyBorder="1"/>
    <xf numFmtId="0" fontId="0" fillId="3" borderId="27" xfId="0" applyFill="1" applyBorder="1"/>
    <xf numFmtId="0" fontId="0" fillId="4" borderId="28" xfId="0" applyFill="1" applyBorder="1"/>
    <xf numFmtId="0" fontId="6" fillId="4" borderId="28" xfId="0" applyFont="1" applyFill="1" applyBorder="1" applyAlignment="1">
      <alignment horizontal="left"/>
    </xf>
    <xf numFmtId="0" fontId="0" fillId="4" borderId="27" xfId="0" applyFill="1" applyBorder="1"/>
    <xf numFmtId="0" fontId="8" fillId="4" borderId="28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6" fillId="4" borderId="28" xfId="0" applyFont="1" applyFill="1" applyBorder="1" applyAlignment="1">
      <alignment horizontal="center"/>
    </xf>
    <xf numFmtId="0" fontId="39" fillId="3" borderId="0" xfId="0" applyFont="1" applyFill="1" applyBorder="1"/>
    <xf numFmtId="0" fontId="6" fillId="4" borderId="28" xfId="0" applyFont="1" applyFill="1" applyBorder="1"/>
    <xf numFmtId="0" fontId="3" fillId="4" borderId="28" xfId="0" applyFont="1" applyFill="1" applyBorder="1" applyAlignment="1">
      <alignment horizontal="center"/>
    </xf>
    <xf numFmtId="166" fontId="3" fillId="4" borderId="28" xfId="0" applyNumberFormat="1" applyFont="1" applyFill="1" applyBorder="1" applyAlignment="1" applyProtection="1">
      <alignment horizontal="center"/>
    </xf>
    <xf numFmtId="0" fontId="18" fillId="3" borderId="27" xfId="0" applyFont="1" applyFill="1" applyBorder="1" applyAlignment="1">
      <alignment horizontal="center"/>
    </xf>
    <xf numFmtId="0" fontId="8" fillId="4" borderId="28" xfId="0" applyFont="1" applyFill="1" applyBorder="1"/>
    <xf numFmtId="0" fontId="11" fillId="3" borderId="0" xfId="0" applyFont="1" applyFill="1" applyBorder="1"/>
    <xf numFmtId="0" fontId="21" fillId="4" borderId="0" xfId="0" applyFont="1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2" fontId="6" fillId="4" borderId="28" xfId="0" applyNumberFormat="1" applyFont="1" applyFill="1" applyBorder="1" applyAlignment="1">
      <alignment horizontal="center"/>
    </xf>
    <xf numFmtId="0" fontId="6" fillId="4" borderId="28" xfId="0" applyFont="1" applyFill="1" applyBorder="1" applyAlignment="1" applyProtection="1">
      <alignment horizontal="left"/>
      <protection locked="0"/>
    </xf>
    <xf numFmtId="0" fontId="7" fillId="3" borderId="0" xfId="0" applyFont="1" applyFill="1" applyBorder="1" applyAlignment="1">
      <alignment horizontal="center"/>
    </xf>
    <xf numFmtId="9" fontId="6" fillId="4" borderId="28" xfId="0" applyNumberFormat="1" applyFont="1" applyFill="1" applyBorder="1" applyAlignment="1">
      <alignment horizontal="center" shrinkToFit="1"/>
    </xf>
    <xf numFmtId="166" fontId="3" fillId="4" borderId="28" xfId="0" applyNumberFormat="1" applyFont="1" applyFill="1" applyBorder="1" applyAlignment="1">
      <alignment horizontal="center"/>
    </xf>
    <xf numFmtId="0" fontId="36" fillId="3" borderId="0" xfId="0" applyFont="1" applyFill="1" applyBorder="1"/>
    <xf numFmtId="0" fontId="14" fillId="3" borderId="0" xfId="0" applyFont="1" applyFill="1" applyBorder="1" applyAlignment="1">
      <alignment horizontal="center"/>
    </xf>
    <xf numFmtId="0" fontId="6" fillId="3" borderId="27" xfId="0" applyFont="1" applyFill="1" applyBorder="1"/>
    <xf numFmtId="0" fontId="6" fillId="3" borderId="29" xfId="0" applyFont="1" applyFill="1" applyBorder="1"/>
    <xf numFmtId="0" fontId="6" fillId="3" borderId="30" xfId="0" applyFont="1" applyFill="1" applyBorder="1"/>
    <xf numFmtId="166" fontId="6" fillId="3" borderId="30" xfId="0" applyNumberFormat="1" applyFont="1" applyFill="1" applyBorder="1" applyAlignment="1">
      <alignment horizontal="center"/>
    </xf>
    <xf numFmtId="0" fontId="3" fillId="3" borderId="30" xfId="0" applyFont="1" applyFill="1" applyBorder="1" applyAlignment="1">
      <alignment horizontal="center"/>
    </xf>
    <xf numFmtId="0" fontId="6" fillId="3" borderId="31" xfId="0" applyFont="1" applyFill="1" applyBorder="1"/>
    <xf numFmtId="0" fontId="40" fillId="0" borderId="0" xfId="0" applyFont="1" applyAlignment="1">
      <alignment horizontal="left"/>
    </xf>
    <xf numFmtId="168" fontId="40" fillId="0" borderId="0" xfId="0" applyNumberFormat="1" applyFont="1" applyAlignment="1">
      <alignment horizontal="left"/>
    </xf>
    <xf numFmtId="0" fontId="40" fillId="0" borderId="0" xfId="0" applyFont="1"/>
    <xf numFmtId="168" fontId="40" fillId="0" borderId="0" xfId="0" applyNumberFormat="1" applyFont="1" applyAlignment="1">
      <alignment horizontal="left" shrinkToFit="1"/>
    </xf>
    <xf numFmtId="0" fontId="7" fillId="3" borderId="0" xfId="0" applyFont="1" applyFill="1" applyBorder="1" applyAlignment="1">
      <alignment vertical="top"/>
    </xf>
    <xf numFmtId="166" fontId="41" fillId="3" borderId="27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3" fillId="4" borderId="0" xfId="0" applyFont="1" applyFill="1" applyBorder="1"/>
    <xf numFmtId="0" fontId="6" fillId="6" borderId="19" xfId="0" applyFont="1" applyFill="1" applyBorder="1" applyAlignment="1">
      <alignment horizontal="left"/>
    </xf>
    <xf numFmtId="9" fontId="6" fillId="3" borderId="0" xfId="0" applyNumberFormat="1" applyFont="1" applyFill="1" applyBorder="1" applyAlignment="1">
      <alignment horizontal="center" shrinkToFit="1"/>
    </xf>
    <xf numFmtId="166" fontId="3" fillId="3" borderId="0" xfId="0" applyNumberFormat="1" applyFont="1" applyFill="1" applyBorder="1" applyAlignment="1">
      <alignment horizontal="center"/>
    </xf>
    <xf numFmtId="0" fontId="6" fillId="0" borderId="19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/>
    <xf numFmtId="2" fontId="0" fillId="0" borderId="0" xfId="0" applyNumberFormat="1" applyFill="1" applyAlignment="1">
      <alignment horizontal="left"/>
    </xf>
    <xf numFmtId="0" fontId="3" fillId="4" borderId="0" xfId="0" applyFont="1" applyFill="1" applyAlignment="1">
      <alignment horizontal="right"/>
    </xf>
    <xf numFmtId="0" fontId="10" fillId="3" borderId="0" xfId="0" applyFont="1" applyFill="1" applyBorder="1" applyAlignment="1">
      <alignment horizontal="right"/>
    </xf>
    <xf numFmtId="0" fontId="0" fillId="0" borderId="7" xfId="0" applyBorder="1"/>
    <xf numFmtId="0" fontId="33" fillId="3" borderId="5" xfId="0" applyFont="1" applyFill="1" applyBorder="1"/>
    <xf numFmtId="167" fontId="3" fillId="3" borderId="4" xfId="0" applyNumberFormat="1" applyFont="1" applyFill="1" applyBorder="1" applyAlignment="1" applyProtection="1">
      <alignment horizontal="left"/>
      <protection locked="0"/>
    </xf>
    <xf numFmtId="0" fontId="0" fillId="3" borderId="32" xfId="0" applyFill="1" applyBorder="1" applyAlignment="1"/>
    <xf numFmtId="0" fontId="0" fillId="3" borderId="33" xfId="0" applyFill="1" applyBorder="1" applyAlignment="1"/>
    <xf numFmtId="0" fontId="42" fillId="4" borderId="15" xfId="0" applyFont="1" applyFill="1" applyBorder="1" applyAlignment="1" applyProtection="1">
      <alignment horizontal="left"/>
    </xf>
    <xf numFmtId="0" fontId="0" fillId="4" borderId="15" xfId="0" applyFill="1" applyBorder="1"/>
    <xf numFmtId="164" fontId="0" fillId="0" borderId="0" xfId="0" applyNumberFormat="1"/>
    <xf numFmtId="165" fontId="0" fillId="0" borderId="0" xfId="0" applyNumberFormat="1"/>
    <xf numFmtId="49" fontId="3" fillId="3" borderId="16" xfId="0" applyNumberFormat="1" applyFont="1" applyFill="1" applyBorder="1" applyAlignment="1" applyProtection="1">
      <alignment horizontal="left"/>
      <protection locked="0"/>
    </xf>
    <xf numFmtId="49" fontId="3" fillId="3" borderId="21" xfId="0" applyNumberFormat="1" applyFont="1" applyFill="1" applyBorder="1" applyAlignment="1" applyProtection="1">
      <alignment horizontal="left"/>
      <protection locked="0"/>
    </xf>
    <xf numFmtId="0" fontId="43" fillId="8" borderId="0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3" borderId="13" xfId="0" applyFont="1" applyFill="1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0" fillId="0" borderId="39" xfId="0" applyBorder="1" applyAlignment="1" applyProtection="1">
      <alignment horizontal="left" vertical="top"/>
      <protection locked="0"/>
    </xf>
    <xf numFmtId="0" fontId="7" fillId="9" borderId="16" xfId="0" applyFont="1" applyFill="1" applyBorder="1" applyAlignment="1" applyProtection="1">
      <alignment horizontal="left"/>
      <protection locked="0"/>
    </xf>
    <xf numFmtId="0" fontId="7" fillId="9" borderId="34" xfId="0" applyFont="1" applyFill="1" applyBorder="1" applyAlignment="1" applyProtection="1">
      <alignment horizontal="left"/>
      <protection locked="0"/>
    </xf>
    <xf numFmtId="0" fontId="7" fillId="9" borderId="21" xfId="0" applyFont="1" applyFill="1" applyBorder="1" applyAlignment="1" applyProtection="1">
      <alignment horizontal="left"/>
      <protection locked="0"/>
    </xf>
    <xf numFmtId="0" fontId="7" fillId="3" borderId="37" xfId="0" applyFont="1" applyFill="1" applyBorder="1" applyAlignment="1" applyProtection="1">
      <alignment horizontal="left" vertical="top" wrapText="1"/>
      <protection locked="0"/>
    </xf>
    <xf numFmtId="0" fontId="7" fillId="3" borderId="15" xfId="0" applyFont="1" applyFill="1" applyBorder="1" applyAlignment="1" applyProtection="1">
      <alignment horizontal="left" vertical="top" wrapText="1"/>
      <protection locked="0"/>
    </xf>
    <xf numFmtId="0" fontId="7" fillId="3" borderId="38" xfId="0" applyFont="1" applyFill="1" applyBorder="1" applyAlignment="1" applyProtection="1">
      <alignment horizontal="left" vertical="top" wrapText="1"/>
      <protection locked="0"/>
    </xf>
    <xf numFmtId="0" fontId="7" fillId="3" borderId="13" xfId="0" applyFont="1" applyFill="1" applyBorder="1" applyAlignment="1" applyProtection="1">
      <alignment horizontal="left" vertical="top" wrapText="1"/>
      <protection locked="0"/>
    </xf>
    <xf numFmtId="0" fontId="7" fillId="3" borderId="8" xfId="0" applyFont="1" applyFill="1" applyBorder="1" applyAlignment="1" applyProtection="1">
      <alignment horizontal="left" vertical="top" wrapText="1"/>
      <protection locked="0"/>
    </xf>
    <xf numFmtId="0" fontId="7" fillId="3" borderId="39" xfId="0" applyFont="1" applyFill="1" applyBorder="1" applyAlignment="1" applyProtection="1">
      <alignment horizontal="left" vertical="top" wrapText="1"/>
      <protection locked="0"/>
    </xf>
    <xf numFmtId="2" fontId="6" fillId="3" borderId="16" xfId="0" applyNumberFormat="1" applyFont="1" applyFill="1" applyBorder="1" applyAlignment="1" applyProtection="1">
      <alignment horizontal="left"/>
      <protection locked="0"/>
    </xf>
    <xf numFmtId="2" fontId="6" fillId="3" borderId="34" xfId="0" applyNumberFormat="1" applyFont="1" applyFill="1" applyBorder="1" applyAlignment="1" applyProtection="1">
      <alignment horizontal="left"/>
      <protection locked="0"/>
    </xf>
    <xf numFmtId="2" fontId="6" fillId="3" borderId="21" xfId="0" applyNumberFormat="1" applyFont="1" applyFill="1" applyBorder="1" applyAlignment="1" applyProtection="1">
      <alignment horizontal="left"/>
      <protection locked="0"/>
    </xf>
    <xf numFmtId="0" fontId="0" fillId="9" borderId="8" xfId="0" applyFill="1" applyBorder="1" applyAlignment="1"/>
    <xf numFmtId="0" fontId="7" fillId="3" borderId="37" xfId="0" applyFont="1" applyFill="1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38" xfId="0" applyBorder="1" applyAlignment="1" applyProtection="1">
      <alignment horizontal="left" vertical="top"/>
      <protection locked="0"/>
    </xf>
    <xf numFmtId="0" fontId="6" fillId="0" borderId="34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5" fillId="3" borderId="16" xfId="0" applyFont="1" applyFill="1" applyBorder="1" applyAlignment="1" applyProtection="1">
      <protection locked="0"/>
    </xf>
    <xf numFmtId="0" fontId="0" fillId="3" borderId="34" xfId="0" applyFill="1" applyBorder="1" applyAlignment="1" applyProtection="1">
      <protection locked="0"/>
    </xf>
    <xf numFmtId="0" fontId="0" fillId="3" borderId="21" xfId="0" applyFill="1" applyBorder="1" applyAlignment="1" applyProtection="1">
      <protection locked="0"/>
    </xf>
    <xf numFmtId="0" fontId="42" fillId="10" borderId="32" xfId="0" applyFont="1" applyFill="1" applyBorder="1" applyAlignment="1" applyProtection="1">
      <alignment horizontal="left" vertical="top" wrapText="1" indent="1"/>
      <protection locked="0"/>
    </xf>
    <xf numFmtId="0" fontId="42" fillId="10" borderId="15" xfId="0" applyFont="1" applyFill="1" applyBorder="1" applyAlignment="1" applyProtection="1">
      <alignment horizontal="left" vertical="top" wrapText="1" indent="1"/>
      <protection locked="0"/>
    </xf>
    <xf numFmtId="0" fontId="42" fillId="10" borderId="33" xfId="0" applyFont="1" applyFill="1" applyBorder="1" applyAlignment="1" applyProtection="1">
      <alignment horizontal="left" vertical="top" wrapText="1" indent="1"/>
      <protection locked="0"/>
    </xf>
    <xf numFmtId="0" fontId="42" fillId="10" borderId="5" xfId="0" applyFont="1" applyFill="1" applyBorder="1" applyAlignment="1" applyProtection="1">
      <alignment horizontal="left" vertical="top" wrapText="1" indent="1"/>
      <protection locked="0"/>
    </xf>
    <xf numFmtId="0" fontId="42" fillId="10" borderId="0" xfId="0" applyFont="1" applyFill="1" applyBorder="1" applyAlignment="1" applyProtection="1">
      <alignment horizontal="left" vertical="top" wrapText="1" indent="1"/>
      <protection locked="0"/>
    </xf>
    <xf numFmtId="0" fontId="42" fillId="10" borderId="4" xfId="0" applyFont="1" applyFill="1" applyBorder="1" applyAlignment="1" applyProtection="1">
      <alignment horizontal="left" vertical="top" wrapText="1" indent="1"/>
      <protection locked="0"/>
    </xf>
    <xf numFmtId="0" fontId="42" fillId="10" borderId="40" xfId="0" applyFont="1" applyFill="1" applyBorder="1" applyAlignment="1" applyProtection="1">
      <alignment horizontal="left" vertical="top" wrapText="1" indent="1"/>
      <protection locked="0"/>
    </xf>
    <xf numFmtId="0" fontId="42" fillId="10" borderId="8" xfId="0" applyFont="1" applyFill="1" applyBorder="1" applyAlignment="1" applyProtection="1">
      <alignment horizontal="left" vertical="top" wrapText="1" indent="1"/>
      <protection locked="0"/>
    </xf>
    <xf numFmtId="0" fontId="42" fillId="10" borderId="41" xfId="0" applyFont="1" applyFill="1" applyBorder="1" applyAlignment="1" applyProtection="1">
      <alignment horizontal="left" vertical="top" wrapText="1" indent="1"/>
      <protection locked="0"/>
    </xf>
    <xf numFmtId="0" fontId="10" fillId="3" borderId="35" xfId="0" applyFont="1" applyFill="1" applyBorder="1" applyAlignment="1" applyProtection="1">
      <alignment horizontal="center"/>
      <protection locked="0"/>
    </xf>
    <xf numFmtId="0" fontId="31" fillId="0" borderId="36" xfId="0" applyFont="1" applyBorder="1" applyAlignment="1"/>
    <xf numFmtId="0" fontId="10" fillId="3" borderId="8" xfId="0" applyFont="1" applyFill="1" applyBorder="1" applyAlignment="1" applyProtection="1">
      <alignment shrinkToFit="1"/>
      <protection locked="0"/>
    </xf>
    <xf numFmtId="0" fontId="0" fillId="0" borderId="8" xfId="0" applyBorder="1" applyAlignment="1">
      <alignment shrinkToFit="1"/>
    </xf>
  </cellXfs>
  <cellStyles count="1">
    <cellStyle name="Normal" xfId="0" builtinId="0"/>
  </cellStyles>
  <dxfs count="40"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35</xdr:row>
      <xdr:rowOff>133350</xdr:rowOff>
    </xdr:from>
    <xdr:to>
      <xdr:col>15</xdr:col>
      <xdr:colOff>2200275</xdr:colOff>
      <xdr:row>51</xdr:row>
      <xdr:rowOff>123825</xdr:rowOff>
    </xdr:to>
    <xdr:grpSp>
      <xdr:nvGrpSpPr>
        <xdr:cNvPr id="20986" name="Group 703"/>
        <xdr:cNvGrpSpPr>
          <a:grpSpLocks noChangeAspect="1"/>
        </xdr:cNvGrpSpPr>
      </xdr:nvGrpSpPr>
      <xdr:grpSpPr bwMode="auto">
        <a:xfrm>
          <a:off x="9896475" y="5324475"/>
          <a:ext cx="1885950" cy="2638425"/>
          <a:chOff x="2426" y="4997"/>
          <a:chExt cx="2426" cy="3401"/>
        </a:xfrm>
      </xdr:grpSpPr>
      <xdr:sp macro="" textlink="">
        <xdr:nvSpPr>
          <xdr:cNvPr id="20991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5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20993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29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3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20996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997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36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7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8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21001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21004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5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6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1007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21002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1003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987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1136" name="cmdClear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1144" name="cmdPrint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323850</xdr:colOff>
          <xdr:row>7</xdr:row>
          <xdr:rowOff>57150</xdr:rowOff>
        </xdr:to>
        <xdr:sp macro="" textlink="">
          <xdr:nvSpPr>
            <xdr:cNvPr id="1148" name="cmdOPTrend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1187" name="cmdSave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14602" name="lbl_Audit" hidden="1">
              <a:extLst>
                <a:ext uri="{63B3BB69-23CF-44E3-9099-C40C66FF867C}">
                  <a14:compatExt spid="_x0000_s1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14709" name="lbl_Xray_Outputs" hidden="1">
              <a:extLst>
                <a:ext uri="{63B3BB69-23CF-44E3-9099-C40C66FF867C}">
                  <a14:compatExt spid="_x0000_s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14736" name="lbl_Electron_Outputs" hidden="1">
              <a:extLst>
                <a:ext uri="{63B3BB69-23CF-44E3-9099-C40C66FF867C}">
                  <a14:compatExt spid="_x0000_s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14738" name="lbl_MVD_Measurements" hidden="1">
              <a:extLst>
                <a:ext uri="{63B3BB69-23CF-44E3-9099-C40C66FF867C}">
                  <a14:compatExt spid="_x0000_s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14811" name="lbl_Registration" hidden="1">
              <a:extLst>
                <a:ext uri="{63B3BB69-23CF-44E3-9099-C40C66FF867C}">
                  <a14:compatExt spid="_x0000_s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14832" name="lbl_Motion_Management" hidden="1">
              <a:extLst>
                <a:ext uri="{63B3BB69-23CF-44E3-9099-C40C66FF867C}">
                  <a14:compatExt spid="_x0000_s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14893" name="lbl_KV_Planar" hidden="1">
              <a:extLst>
                <a:ext uri="{63B3BB69-23CF-44E3-9099-C40C66FF867C}">
                  <a14:compatExt spid="_x0000_s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14894" name="lbl_CBCT" hidden="1">
              <a:extLst>
                <a:ext uri="{63B3BB69-23CF-44E3-9099-C40C66FF867C}">
                  <a14:compatExt spid="_x0000_s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20988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20989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0990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1.xml"/><Relationship Id="rId3" Type="http://schemas.openxmlformats.org/officeDocument/2006/relationships/drawing" Target="../drawings/drawing1.xml"/><Relationship Id="rId21" Type="http://schemas.openxmlformats.org/officeDocument/2006/relationships/image" Target="../media/image5.emf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17" Type="http://schemas.openxmlformats.org/officeDocument/2006/relationships/image" Target="../media/image3.emf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5" Type="http://schemas.openxmlformats.org/officeDocument/2006/relationships/image" Target="../media/image2.emf"/><Relationship Id="rId10" Type="http://schemas.openxmlformats.org/officeDocument/2006/relationships/control" Target="../activeX/activeX5.xml"/><Relationship Id="rId19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83"/>
  <sheetViews>
    <sheetView tabSelected="1" zoomScaleNormal="100" workbookViewId="0">
      <selection activeCell="H12" sqref="H12:J12"/>
    </sheetView>
  </sheetViews>
  <sheetFormatPr defaultRowHeight="12.75" x14ac:dyDescent="0.2"/>
  <cols>
    <col min="1" max="1" width="3.7109375" style="3" customWidth="1"/>
    <col min="2" max="2" width="3.7109375" customWidth="1"/>
    <col min="3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11"/>
      <c r="I12" s="312"/>
      <c r="J12" s="313"/>
      <c r="K12" s="9"/>
      <c r="L12" s="72"/>
      <c r="M12" s="72"/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/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23"/>
      <c r="G15" s="324"/>
      <c r="I15" s="275" t="s">
        <v>511</v>
      </c>
      <c r="J15" s="21"/>
      <c r="K15" s="7"/>
      <c r="L15" s="185" t="s">
        <v>421</v>
      </c>
      <c r="M15" s="186"/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14"/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228"/>
      <c r="O17" s="4"/>
    </row>
    <row r="18" spans="2:15" x14ac:dyDescent="0.2">
      <c r="B18" s="227"/>
      <c r="C18" s="317"/>
      <c r="D18" s="318"/>
      <c r="E18" s="318"/>
      <c r="F18" s="318"/>
      <c r="G18" s="318"/>
      <c r="H18" s="318"/>
      <c r="I18" s="318"/>
      <c r="J18" s="318"/>
      <c r="K18" s="318"/>
      <c r="L18" s="318"/>
      <c r="M18" s="319"/>
      <c r="N18" s="228"/>
      <c r="O18" s="4"/>
    </row>
    <row r="19" spans="2:15" x14ac:dyDescent="0.2">
      <c r="B19" s="227"/>
      <c r="C19" s="320"/>
      <c r="D19" s="321"/>
      <c r="E19" s="321"/>
      <c r="F19" s="321"/>
      <c r="G19" s="321"/>
      <c r="H19" s="321"/>
      <c r="I19" s="321"/>
      <c r="J19" s="321"/>
      <c r="K19" s="321"/>
      <c r="L19" s="321"/>
      <c r="M19" s="322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25"/>
      <c r="G21" s="326"/>
      <c r="I21" s="89"/>
      <c r="J21" s="89"/>
      <c r="K21" s="89"/>
      <c r="L21" s="16" t="s">
        <v>304</v>
      </c>
      <c r="M21" s="279"/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05"/>
      <c r="L24" s="305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/>
      <c r="I27" s="7"/>
      <c r="J27" s="302"/>
      <c r="K27" s="303"/>
      <c r="L27" s="303"/>
      <c r="M27" s="304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/>
      <c r="I28" s="7"/>
      <c r="J28" s="302"/>
      <c r="K28" s="303"/>
      <c r="L28" s="303"/>
      <c r="M28" s="304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/>
      <c r="I29" s="7"/>
      <c r="J29" s="302"/>
      <c r="K29" s="303"/>
      <c r="L29" s="303"/>
      <c r="M29" s="304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/>
      <c r="I30" s="7"/>
      <c r="J30" s="302"/>
      <c r="K30" s="303"/>
      <c r="L30" s="303"/>
      <c r="M30" s="304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/>
      <c r="I31" s="7"/>
      <c r="J31" s="302"/>
      <c r="K31" s="303"/>
      <c r="L31" s="303"/>
      <c r="M31" s="304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05"/>
      <c r="L33" s="305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hidden="1" x14ac:dyDescent="0.35">
      <c r="B35" s="227"/>
      <c r="C35" s="22" t="s">
        <v>250</v>
      </c>
      <c r="D35" s="59"/>
      <c r="E35" s="1"/>
      <c r="F35" s="22" t="s">
        <v>249</v>
      </c>
      <c r="G35" s="59"/>
      <c r="H35" s="1"/>
      <c r="I35" s="22" t="s">
        <v>262</v>
      </c>
      <c r="J35" s="23" t="str">
        <f>IF(OR(D35="",G35=""),"",(760/D35)*(273.15+G35)/295.15)</f>
        <v/>
      </c>
      <c r="K35" s="80"/>
      <c r="L35" s="80"/>
      <c r="M35" s="80"/>
      <c r="N35" s="228"/>
      <c r="O35" s="4"/>
      <c r="P35" s="144"/>
    </row>
    <row r="36" spans="2:61" ht="15.75" hidden="1" customHeight="1" x14ac:dyDescent="0.2">
      <c r="B36" s="227"/>
      <c r="C36" s="7"/>
      <c r="D36" s="7"/>
      <c r="E36" s="7"/>
      <c r="F36" s="7"/>
      <c r="G36" s="7"/>
      <c r="H36" s="7"/>
      <c r="I36" s="7"/>
      <c r="J36" s="7"/>
      <c r="K36" s="80"/>
      <c r="L36" s="80"/>
      <c r="M36" s="80"/>
      <c r="N36" s="228"/>
      <c r="O36" s="4"/>
    </row>
    <row r="37" spans="2:61" ht="14.25" hidden="1" x14ac:dyDescent="0.25">
      <c r="B37" s="227"/>
      <c r="C37" s="24" t="s">
        <v>123</v>
      </c>
      <c r="D37" s="21"/>
      <c r="E37" s="1"/>
      <c r="F37" s="24" t="s">
        <v>28</v>
      </c>
      <c r="G37" s="25"/>
      <c r="H37" s="7"/>
      <c r="I37" s="185" t="s">
        <v>479</v>
      </c>
      <c r="J37" s="71" t="str">
        <f>IF(D37="","",VLOOKUP(D37,Data!A31:E36,5,FALSE))</f>
        <v/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hidden="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hidden="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hidden="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hidden="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hidden="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hidden="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hidden="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hidden="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hidden="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hidden="1" x14ac:dyDescent="0.2">
      <c r="B47" s="227"/>
      <c r="C47" s="31">
        <v>6</v>
      </c>
      <c r="D47" s="77" t="str">
        <f>IF(H$12="","",VLOOKUP(H$12,Data!$S$32:$X$37,3,FALSE))</f>
        <v/>
      </c>
      <c r="E47" s="33"/>
      <c r="F47" s="33"/>
      <c r="G47" s="33"/>
      <c r="H47" s="38" t="str">
        <f>IF(OR(E47&lt;&gt;"",F47&lt;&gt;"",G47&lt;&gt;""),AVERAGE(E47:G47),"")</f>
        <v/>
      </c>
      <c r="I47" s="35" t="str">
        <f>IF(OR(H47="",D47="",$J$35="",$J$37=""),"",H47*D47*$J$35*$J$37)</f>
        <v/>
      </c>
      <c r="J47" s="35">
        <f>IF(C47="","",100)</f>
        <v>100</v>
      </c>
      <c r="K47" s="35" t="str">
        <f>IF(I47&lt;&gt;"",I47-J47,"")</f>
        <v/>
      </c>
      <c r="L47" s="35">
        <f>IF(C47="","",2)</f>
        <v>2</v>
      </c>
      <c r="M47" s="36" t="str">
        <f>IF(K47="","",IF(ABS(K47)&lt;=L47/2,"PASS",IF(ABS(K47)&lt;=L47,"MARGINAL","FAIL")))</f>
        <v/>
      </c>
      <c r="N47" s="231"/>
      <c r="O47" s="4"/>
    </row>
    <row r="48" spans="2:61" hidden="1" x14ac:dyDescent="0.2">
      <c r="B48" s="227"/>
      <c r="C48" s="37">
        <v>10</v>
      </c>
      <c r="D48" s="77" t="str">
        <f>IF(H$12="","",VLOOKUP(H$12,Data!$S$32:$X$37,4,FALSE))</f>
        <v/>
      </c>
      <c r="E48" s="33"/>
      <c r="F48" s="33"/>
      <c r="G48" s="33"/>
      <c r="H48" s="38" t="str">
        <f>IF(OR(E48&lt;&gt;"",F48&lt;&gt;"",G48&lt;&gt;""),AVERAGE(E48:G48),"")</f>
        <v/>
      </c>
      <c r="I48" s="35" t="str">
        <f>IF(OR(H48="",D48="",$J$35="",$J$37=""),"",H48*D48*$J$35*$J$37)</f>
        <v/>
      </c>
      <c r="J48" s="39">
        <f>IF(C48="","",100)</f>
        <v>100</v>
      </c>
      <c r="K48" s="39" t="str">
        <f>IF(I48&lt;&gt;"",I48-J48,"")</f>
        <v/>
      </c>
      <c r="L48" s="39">
        <f>IF(C48="","",2)</f>
        <v>2</v>
      </c>
      <c r="M48" s="36" t="str">
        <f>IF(K48="","",IF(ABS(K48)&lt;=L48/2,"PASS",IF(ABS(K48)&lt;=L48,"MARGINAL","FAIL")))</f>
        <v/>
      </c>
      <c r="N48" s="231"/>
      <c r="O48" s="4"/>
    </row>
    <row r="49" spans="2:16" hidden="1" x14ac:dyDescent="0.2">
      <c r="B49" s="227"/>
      <c r="C49" s="37" t="s">
        <v>137</v>
      </c>
      <c r="D49" s="77" t="str">
        <f>IF(H$12="","",VLOOKUP(H$12,Data!$S$32:$X$37,6,FALSE))</f>
        <v/>
      </c>
      <c r="E49" s="33"/>
      <c r="F49" s="33"/>
      <c r="G49" s="33"/>
      <c r="H49" s="38" t="str">
        <f>IF(OR(E49&lt;&gt;"",F49&lt;&gt;"",G49&lt;&gt;""),AVERAGE(E49:G49),"")</f>
        <v/>
      </c>
      <c r="I49" s="35" t="str">
        <f>IF(OR(H49="",D49="",$J$35="",$J$37=""),"",H49*D49*$J$35*$J$37)</f>
        <v/>
      </c>
      <c r="J49" s="39">
        <f>IF(C49="","",100)</f>
        <v>100</v>
      </c>
      <c r="K49" s="39" t="str">
        <f>IF(I49&lt;&gt;"",I49-J49,"")</f>
        <v/>
      </c>
      <c r="L49" s="39">
        <f>IF(C49="","",2)</f>
        <v>2</v>
      </c>
      <c r="M49" s="36" t="str">
        <f>IF(K49="","",IF(ABS(K49)&lt;=L49/2,"PASS",IF(ABS(K49)&lt;=L49,"MARGINAL","FAIL")))</f>
        <v/>
      </c>
      <c r="N49" s="231"/>
      <c r="O49" s="4"/>
    </row>
    <row r="50" spans="2:16" hidden="1" x14ac:dyDescent="0.2">
      <c r="B50" s="227"/>
      <c r="C50" s="37">
        <v>15</v>
      </c>
      <c r="D50" s="77" t="str">
        <f>IF(H$12="","",VLOOKUP(H$12,Data!$S$32:$X$37,5,FALSE))</f>
        <v/>
      </c>
      <c r="E50" s="33"/>
      <c r="F50" s="33"/>
      <c r="G50" s="33"/>
      <c r="H50" s="38" t="str">
        <f>IF(OR(E50&lt;&gt;"",F50&lt;&gt;"",G50&lt;&gt;""),AVERAGE(E50:G50),"")</f>
        <v/>
      </c>
      <c r="I50" s="35" t="str">
        <f>IF(OR(H50="",D50="",$J$35="",$J$37=""),"",H50*D50*$J$35*$J$37)</f>
        <v/>
      </c>
      <c r="J50" s="39">
        <f>IF(C50="","",100)</f>
        <v>100</v>
      </c>
      <c r="K50" s="39" t="str">
        <f>IF(I50&lt;&gt;"",I50-J50,"")</f>
        <v/>
      </c>
      <c r="L50" s="39">
        <f>IF(C50="","",2)</f>
        <v>2</v>
      </c>
      <c r="M50" s="36" t="str">
        <f>IF(K50="","",IF(ABS(K50)&lt;=L50/2,"PASS",IF(ABS(K50)&lt;=L50,"MARGINAL","FAIL")))</f>
        <v/>
      </c>
      <c r="N50" s="231"/>
      <c r="O50" s="4"/>
    </row>
    <row r="51" spans="2:16" hidden="1" x14ac:dyDescent="0.2">
      <c r="B51" s="22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228"/>
      <c r="O51" s="4"/>
    </row>
    <row r="52" spans="2:16" hidden="1" x14ac:dyDescent="0.2">
      <c r="B52" s="227"/>
      <c r="C52" s="108" t="s">
        <v>323</v>
      </c>
      <c r="D52" s="7"/>
      <c r="E52" s="7"/>
      <c r="F52" s="161" t="s">
        <v>322</v>
      </c>
      <c r="G52" s="7"/>
      <c r="H52" s="7"/>
      <c r="I52" s="7"/>
      <c r="J52" s="7"/>
      <c r="K52" s="7"/>
      <c r="L52" s="7"/>
      <c r="M52" s="7"/>
      <c r="N52" s="228"/>
      <c r="O52" s="4"/>
    </row>
    <row r="53" spans="2:16" hidden="1" x14ac:dyDescent="0.2">
      <c r="B53" s="227"/>
      <c r="C53" s="27" t="s">
        <v>38</v>
      </c>
      <c r="D53" s="27" t="s">
        <v>55</v>
      </c>
      <c r="E53" s="27" t="s">
        <v>53</v>
      </c>
      <c r="F53" s="27" t="s">
        <v>57</v>
      </c>
      <c r="G53" s="27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hidden="1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hidden="1" x14ac:dyDescent="0.2">
      <c r="B55" s="227"/>
      <c r="C55" s="43">
        <v>6</v>
      </c>
      <c r="D55" s="34" t="str">
        <f>IF(H47="","",H47)</f>
        <v/>
      </c>
      <c r="E55" s="109"/>
      <c r="F55" s="109"/>
      <c r="G55" s="44" t="str">
        <f>IF(AND(E55="",F55=""),"",AVERAGE(E55:F55))</f>
        <v/>
      </c>
      <c r="H55" s="44" t="str">
        <f>IF(OR(D55="",G55=""),"",G55/D55)</f>
        <v/>
      </c>
      <c r="I55" s="32">
        <f>Data!B52</f>
        <v>0.65500000000000003</v>
      </c>
      <c r="J55" s="35" t="str">
        <f>IF(H55="","",100*(H55-I55)/I55)</f>
        <v/>
      </c>
      <c r="K55" s="35">
        <v>2</v>
      </c>
      <c r="L55" s="36" t="str">
        <f>IF(J55="","",IF(ABS(J55)&lt;=K55/2,"PASS",IF(ABS(J55)&lt;=K55,"MARGINAL","FAIL")))</f>
        <v/>
      </c>
      <c r="M55" s="41"/>
      <c r="N55" s="232"/>
      <c r="O55" s="4"/>
    </row>
    <row r="56" spans="2:16" hidden="1" x14ac:dyDescent="0.2">
      <c r="B56" s="227"/>
      <c r="C56" s="45">
        <v>10</v>
      </c>
      <c r="D56" s="38" t="str">
        <f>IF(H48="","",H48)</f>
        <v/>
      </c>
      <c r="E56" s="49"/>
      <c r="F56" s="49"/>
      <c r="G56" s="38" t="str">
        <f>IF(AND(E56="",F56=""),"",AVERAGE(E56:F56))</f>
        <v/>
      </c>
      <c r="H56" s="44" t="str">
        <f>IF(OR(D56="",G56=""),"",G56/D56)</f>
        <v/>
      </c>
      <c r="I56" s="32">
        <f>Data!B53</f>
        <v>0.69599999999999995</v>
      </c>
      <c r="J56" s="35" t="str">
        <f>IF(H56="","",100*(H56-I56)/I56)</f>
        <v/>
      </c>
      <c r="K56" s="39">
        <v>2</v>
      </c>
      <c r="L56" s="36" t="str">
        <f>IF(J56="","",IF(ABS(J56)&lt;=K56/2,"PASS",IF(ABS(J56)&lt;=K56,"MARGINAL","FAIL")))</f>
        <v/>
      </c>
      <c r="M56" s="41"/>
      <c r="N56" s="232"/>
      <c r="O56" s="4"/>
    </row>
    <row r="57" spans="2:16" hidden="1" x14ac:dyDescent="0.2">
      <c r="B57" s="227"/>
      <c r="C57" s="45">
        <v>15</v>
      </c>
      <c r="D57" s="38" t="str">
        <f>IF(H50="","",H50)</f>
        <v/>
      </c>
      <c r="E57" s="49"/>
      <c r="F57" s="49"/>
      <c r="G57" s="38" t="str">
        <f>IF(AND(E57="",F57=""),"",AVERAGE(E57:F57))</f>
        <v/>
      </c>
      <c r="H57" s="44" t="str">
        <f>IF(OR(D57="",G57=""),"",G57/D57)</f>
        <v/>
      </c>
      <c r="I57" s="32">
        <f>Data!B54</f>
        <v>0.71199999999999997</v>
      </c>
      <c r="J57" s="35" t="str">
        <f>IF(H57="","",100*(H57-I57)/I57)</f>
        <v/>
      </c>
      <c r="K57" s="39">
        <v>2</v>
      </c>
      <c r="L57" s="36" t="str">
        <f>IF(J57="","",IF(ABS(J57)&lt;=K57/2,"PASS",IF(ABS(J57)&lt;=K57,"MARGINAL","FAIL")))</f>
        <v/>
      </c>
      <c r="M57" s="41"/>
      <c r="N57" s="232"/>
      <c r="O57" s="4"/>
    </row>
    <row r="58" spans="2:16" hidden="1" x14ac:dyDescent="0.2">
      <c r="B58" s="22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228"/>
      <c r="O58" s="4"/>
    </row>
    <row r="59" spans="2:16" hidden="1" x14ac:dyDescent="0.2">
      <c r="B59" s="227"/>
      <c r="C59" s="108" t="s">
        <v>324</v>
      </c>
      <c r="D59" s="7"/>
      <c r="E59" s="7"/>
      <c r="F59" s="161" t="str">
        <f>IF(H12="VIOAK_TB6","2dMLC_HD_OP.dcm","2dMLC_OP.dcm")</f>
        <v>2dMLC_OP.dcm</v>
      </c>
      <c r="G59" s="7"/>
      <c r="H59" s="7"/>
      <c r="I59" s="7"/>
      <c r="J59" s="7"/>
      <c r="K59" s="7"/>
      <c r="L59" s="7"/>
      <c r="M59" s="7"/>
      <c r="N59" s="228"/>
      <c r="O59" s="4"/>
    </row>
    <row r="60" spans="2:16" hidden="1" x14ac:dyDescent="0.2">
      <c r="B60" s="227"/>
      <c r="C60" s="27" t="s">
        <v>38</v>
      </c>
      <c r="D60" s="27" t="s">
        <v>142</v>
      </c>
      <c r="E60" s="27" t="s">
        <v>55</v>
      </c>
      <c r="F60" s="26" t="s">
        <v>145</v>
      </c>
      <c r="G60" s="26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hidden="1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hidden="1" x14ac:dyDescent="0.2">
      <c r="B62" s="227"/>
      <c r="C62" s="32">
        <v>6</v>
      </c>
      <c r="D62" s="50" t="s">
        <v>147</v>
      </c>
      <c r="E62" s="84" t="str">
        <f>IF($H$47="","",$H$47)</f>
        <v/>
      </c>
      <c r="F62" s="109"/>
      <c r="G62" s="109"/>
      <c r="H62" s="44" t="str">
        <f>IF(AND(F62="",G62=""),"",AVERAGE(F62:G62))</f>
        <v/>
      </c>
      <c r="I62" s="56" t="str">
        <f>IF(OR(E62="",H62=""),"",H62/E62)</f>
        <v/>
      </c>
      <c r="J62" s="56">
        <f>IF($H$12="VIOAK_TB6",Data!L52,Data!K52)</f>
        <v>7.46E-2</v>
      </c>
      <c r="K62" s="35" t="str">
        <f>IF(I62="","",100*(I62-J62)/J62)</f>
        <v/>
      </c>
      <c r="L62" s="35">
        <v>2</v>
      </c>
      <c r="M62" s="36" t="str">
        <f>IF(K62="","",IF(ABS(K62)&lt;=L62/2,"PASS",IF(ABS(K62)&lt;=L62,"MARGINAL","FAIL")))</f>
        <v/>
      </c>
      <c r="N62" s="231"/>
      <c r="O62" s="4"/>
    </row>
    <row r="63" spans="2:16" hidden="1" x14ac:dyDescent="0.2">
      <c r="B63" s="227"/>
      <c r="C63" s="29">
        <v>6</v>
      </c>
      <c r="D63" s="53" t="s">
        <v>150</v>
      </c>
      <c r="E63" s="84" t="str">
        <f>IF($H$47="","",$H$47)</f>
        <v/>
      </c>
      <c r="F63" s="46"/>
      <c r="G63" s="46"/>
      <c r="H63" s="44" t="str">
        <f>IF(AND(F63="",G63=""),"",AVERAGE(F63:G63))</f>
        <v/>
      </c>
      <c r="I63" s="56" t="str">
        <f>IF(OR(E63="",H63=""),"",H63/E63)</f>
        <v/>
      </c>
      <c r="J63" s="56">
        <f>IF($H$12="VIOAK_TB6",Data!L52,Data!K52)</f>
        <v>7.46E-2</v>
      </c>
      <c r="K63" s="35" t="str">
        <f>IF(I63="","",100*(I63-J63)/J63)</f>
        <v/>
      </c>
      <c r="L63" s="39">
        <v>3</v>
      </c>
      <c r="M63" s="36" t="str">
        <f>IF(K63="","",IF(ABS(K63)&lt;=L63/2,"PASS",IF(ABS(K63)&lt;=L63,"MARGINAL","FAIL")))</f>
        <v/>
      </c>
      <c r="N63" s="231"/>
      <c r="O63" s="4"/>
      <c r="P63" s="94"/>
    </row>
    <row r="64" spans="2:16" hidden="1" x14ac:dyDescent="0.2">
      <c r="B64" s="227"/>
      <c r="C64" s="29">
        <v>6</v>
      </c>
      <c r="D64" s="53" t="s">
        <v>155</v>
      </c>
      <c r="E64" s="84" t="str">
        <f>IF($H$47="","",$H$47)</f>
        <v/>
      </c>
      <c r="F64" s="49"/>
      <c r="G64" s="49"/>
      <c r="H64" s="34" t="str">
        <f>IF(AND(F64="",G64=""),"",AVERAGE(F64:G64))</f>
        <v/>
      </c>
      <c r="I64" s="44" t="str">
        <f>IF(OR(E64="",H64=""),"",H64/E64)</f>
        <v/>
      </c>
      <c r="J64" s="56">
        <f>IF($H$12="VIOAK_TB6",Data!L53,Data!K53)</f>
        <v>0.93</v>
      </c>
      <c r="K64" s="35" t="str">
        <f>IF(I64="","",100*(I64-J64)/J64)</f>
        <v/>
      </c>
      <c r="L64" s="39">
        <v>2</v>
      </c>
      <c r="M64" s="36" t="str">
        <f>IF(K64="","",IF(ABS(K64)&lt;=L64/2,"PASS",IF(ABS(K64)&lt;=L64,"MARGINAL","FAIL")))</f>
        <v/>
      </c>
      <c r="N64" s="231"/>
      <c r="O64" s="4"/>
      <c r="P64" s="94"/>
    </row>
    <row r="65" spans="2:16" hidden="1" x14ac:dyDescent="0.2">
      <c r="B65" s="227"/>
      <c r="C65" s="29">
        <v>6</v>
      </c>
      <c r="D65" s="53" t="s">
        <v>144</v>
      </c>
      <c r="E65" s="84" t="str">
        <f>IF($H$47="","",$H$47)</f>
        <v/>
      </c>
      <c r="F65" s="46"/>
      <c r="G65" s="46"/>
      <c r="H65" s="44" t="str">
        <f>IF(AND(F65="",G65=""),"",AVERAGE(F65:G65))</f>
        <v/>
      </c>
      <c r="I65" s="44" t="str">
        <f>IF(OR(E65="",H65=""),"",H65/E65)</f>
        <v/>
      </c>
      <c r="J65" s="56">
        <f>IF($H$12="VIOAK_TB6",Data!L54,Data!K54)</f>
        <v>0.626</v>
      </c>
      <c r="K65" s="35" t="str">
        <f>IF(I65="","",100*(I65-J65)/J65)</f>
        <v/>
      </c>
      <c r="L65" s="39">
        <v>2</v>
      </c>
      <c r="M65" s="36" t="str">
        <f>IF(K65="","",IF(ABS(K65)&lt;=L65/2,"PASS",IF(ABS(K65)&lt;=L65,"MARGINAL","FAIL")))</f>
        <v/>
      </c>
      <c r="N65" s="231"/>
      <c r="O65" s="4"/>
      <c r="P65" s="94"/>
    </row>
    <row r="66" spans="2:16" hidden="1" x14ac:dyDescent="0.2">
      <c r="B66" s="227"/>
      <c r="C66" s="29">
        <v>6</v>
      </c>
      <c r="D66" s="53" t="s">
        <v>325</v>
      </c>
      <c r="E66" s="84" t="str">
        <f>IF($H$47="","",$H$47)</f>
        <v/>
      </c>
      <c r="F66" s="46"/>
      <c r="G66" s="46"/>
      <c r="H66" s="44" t="str">
        <f>IF(AND(F66="",G66=""),"",AVERAGE(F66:G66))</f>
        <v/>
      </c>
      <c r="I66" s="44" t="str">
        <f>IF(OR(E66="",H66=""),"",H66/E66)</f>
        <v/>
      </c>
      <c r="J66" s="56">
        <f>IF($H$12="VIOAK_TB6",Data!L55,Data!K55)</f>
        <v>0.23400000000000001</v>
      </c>
      <c r="K66" s="35" t="str">
        <f>IF(I66="","",100*(I66-J66)/J66)</f>
        <v/>
      </c>
      <c r="L66" s="39">
        <v>2</v>
      </c>
      <c r="M66" s="36" t="str">
        <f>IF(K66="","",IF(ABS(K66)&lt;=L66/2,"PASS",IF(ABS(K66)&lt;=L66,"MARGINAL","FAIL")))</f>
        <v/>
      </c>
      <c r="N66" s="231"/>
      <c r="O66" s="4"/>
      <c r="P66" s="94"/>
    </row>
    <row r="67" spans="2:16" hidden="1" x14ac:dyDescent="0.2">
      <c r="B67" s="227"/>
      <c r="C67" s="90" t="s">
        <v>151</v>
      </c>
      <c r="D67" s="83"/>
      <c r="E67" s="87"/>
      <c r="F67" s="81"/>
      <c r="G67" s="81"/>
      <c r="H67" s="82"/>
      <c r="I67" s="55"/>
      <c r="J67" s="55"/>
      <c r="K67" s="54"/>
      <c r="L67" s="54"/>
      <c r="M67" s="52"/>
      <c r="N67" s="231"/>
      <c r="O67" s="4"/>
      <c r="P67" s="94"/>
    </row>
    <row r="68" spans="2:16" hidden="1" x14ac:dyDescent="0.2">
      <c r="B68" s="227"/>
      <c r="C68" s="89"/>
      <c r="D68" s="7"/>
      <c r="E68" s="7"/>
      <c r="F68" s="7"/>
      <c r="G68" s="7"/>
      <c r="H68" s="7"/>
      <c r="I68" s="7"/>
      <c r="J68" s="7"/>
      <c r="K68" s="7"/>
      <c r="L68" s="7"/>
      <c r="M68" s="7"/>
      <c r="N68" s="228"/>
      <c r="O68" s="4"/>
      <c r="P68" s="94"/>
    </row>
    <row r="69" spans="2:16" hidden="1" x14ac:dyDescent="0.2">
      <c r="B69" s="227"/>
      <c r="C69" s="108" t="s">
        <v>326</v>
      </c>
      <c r="D69" s="7"/>
      <c r="E69" s="7"/>
      <c r="F69" s="161" t="str">
        <f>IF(H12="VIOAK_TB6","3VMAT_HD.dcm","3VMAT_H&amp;N.dcm")</f>
        <v>3VMAT_H&amp;N.dcm</v>
      </c>
      <c r="G69" s="7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hidden="1" customHeight="1" x14ac:dyDescent="0.2">
      <c r="B70" s="227"/>
      <c r="C70" s="27" t="s">
        <v>38</v>
      </c>
      <c r="D70" s="27" t="s">
        <v>142</v>
      </c>
      <c r="E70" s="27" t="s">
        <v>55</v>
      </c>
      <c r="F70" s="26" t="s">
        <v>145</v>
      </c>
      <c r="G70" s="26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hidden="1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hidden="1" customHeight="1" x14ac:dyDescent="0.2">
      <c r="B72" s="227"/>
      <c r="C72" s="32">
        <v>6</v>
      </c>
      <c r="D72" s="50" t="s">
        <v>220</v>
      </c>
      <c r="E72" s="84" t="str">
        <f>IF($H$47="","",$H$47)</f>
        <v/>
      </c>
      <c r="F72" s="33"/>
      <c r="G72" s="33"/>
      <c r="H72" s="34" t="str">
        <f>IF(AND(F72="",G72=""),"",AVERAGE(F72:G72))</f>
        <v/>
      </c>
      <c r="I72" s="44" t="str">
        <f>IF(OR(E72="",H72=""),"",H72/E72)</f>
        <v/>
      </c>
      <c r="J72" s="56">
        <f>IF($H$12="VIOAK_TB6",Data!L56,Data!K56)</f>
        <v>1.498</v>
      </c>
      <c r="K72" s="35" t="str">
        <f>IF(I72="","",100*(I72-J72)/J72)</f>
        <v/>
      </c>
      <c r="L72" s="35">
        <v>3</v>
      </c>
      <c r="M72" s="36" t="str">
        <f>IF(K72="","",IF(ABS(K72)&lt;=L72/2,"PASS",IF(ABS(K72)&lt;=L72,"MARGINAL","FAIL")))</f>
        <v/>
      </c>
      <c r="N72" s="231"/>
      <c r="O72" s="4"/>
    </row>
    <row r="73" spans="2:16" hidden="1" x14ac:dyDescent="0.2">
      <c r="B73" s="227"/>
      <c r="C73" s="41"/>
      <c r="D73" s="83"/>
      <c r="E73" s="87"/>
      <c r="F73" s="81"/>
      <c r="G73" s="81"/>
      <c r="H73" s="82"/>
      <c r="I73" s="55"/>
      <c r="J73" s="88"/>
      <c r="K73" s="54"/>
      <c r="L73" s="54"/>
      <c r="M73" s="52"/>
      <c r="N73" s="231"/>
      <c r="O73" s="4"/>
    </row>
    <row r="74" spans="2:16" hidden="1" x14ac:dyDescent="0.2">
      <c r="B74" s="227"/>
      <c r="C74" s="108" t="s">
        <v>328</v>
      </c>
      <c r="D74" s="7"/>
      <c r="E74" s="7"/>
      <c r="F74" s="161" t="str">
        <f>IF(H12="VIOAK_TB6","4dMLC_HDErr.dcm","4dMLC_Error.dcm")</f>
        <v>4dMLC_Error.dcm</v>
      </c>
      <c r="G74" s="7"/>
      <c r="H74" s="7"/>
      <c r="I74" s="7"/>
      <c r="J74" s="7"/>
      <c r="K74" s="7"/>
      <c r="L74" s="7"/>
      <c r="M74" s="7"/>
      <c r="N74" s="228"/>
      <c r="O74" s="4"/>
    </row>
    <row r="75" spans="2:16" hidden="1" x14ac:dyDescent="0.2">
      <c r="B75" s="227"/>
      <c r="C75" s="27" t="s">
        <v>38</v>
      </c>
      <c r="D75" s="27" t="s">
        <v>142</v>
      </c>
      <c r="E75" s="26" t="s">
        <v>153</v>
      </c>
      <c r="F75" s="48"/>
      <c r="G75" s="83"/>
      <c r="H75" s="83"/>
      <c r="I75" s="83"/>
      <c r="J75" s="83"/>
      <c r="K75" s="83"/>
      <c r="L75" s="83"/>
      <c r="M75" s="83"/>
      <c r="N75" s="233"/>
      <c r="O75" s="4"/>
    </row>
    <row r="76" spans="2:16" hidden="1" x14ac:dyDescent="0.2">
      <c r="B76" s="227"/>
      <c r="C76" s="29" t="s">
        <v>45</v>
      </c>
      <c r="D76" s="29"/>
      <c r="E76" s="53"/>
      <c r="F76" s="40"/>
      <c r="G76" s="41"/>
      <c r="H76" s="41"/>
      <c r="I76" s="41"/>
      <c r="J76" s="41"/>
      <c r="K76" s="41"/>
      <c r="L76" s="41"/>
      <c r="M76" s="41"/>
      <c r="N76" s="232"/>
      <c r="O76" s="4"/>
    </row>
    <row r="77" spans="2:16" hidden="1" x14ac:dyDescent="0.2">
      <c r="B77" s="227"/>
      <c r="C77" s="32">
        <v>6</v>
      </c>
      <c r="D77" s="50" t="s">
        <v>152</v>
      </c>
      <c r="E77" s="33"/>
      <c r="F77" s="41"/>
      <c r="G77" s="52"/>
      <c r="H77" s="52"/>
      <c r="I77" s="52"/>
      <c r="J77" s="52"/>
      <c r="K77" s="52"/>
      <c r="L77" s="52"/>
      <c r="M77" s="52"/>
      <c r="N77" s="231"/>
      <c r="O77" s="4"/>
    </row>
    <row r="78" spans="2:16" hidden="1" x14ac:dyDescent="0.2">
      <c r="B78" s="227"/>
      <c r="C78" s="90" t="s">
        <v>154</v>
      </c>
      <c r="D78" s="83"/>
      <c r="E78" s="87"/>
      <c r="F78" s="81"/>
      <c r="G78" s="81"/>
      <c r="H78" s="82"/>
      <c r="I78" s="55"/>
      <c r="J78" s="88"/>
      <c r="K78" s="54"/>
      <c r="L78" s="54"/>
      <c r="M78" s="52"/>
      <c r="N78" s="231"/>
      <c r="O78" s="4"/>
    </row>
    <row r="79" spans="2:16" hidden="1" x14ac:dyDescent="0.2">
      <c r="B79" s="227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231"/>
      <c r="O79" s="4"/>
    </row>
    <row r="80" spans="2:16" hidden="1" x14ac:dyDescent="0.2">
      <c r="B80" s="227"/>
      <c r="C80" s="79" t="s">
        <v>386</v>
      </c>
      <c r="D80" s="7"/>
      <c r="E80" s="7"/>
      <c r="F80" s="7"/>
      <c r="G80" s="7"/>
      <c r="H80" s="7"/>
      <c r="I80" s="7"/>
      <c r="J80" s="7"/>
      <c r="K80" s="7"/>
      <c r="L80" s="7"/>
      <c r="M80" s="7"/>
      <c r="N80" s="228"/>
      <c r="O80" s="4"/>
    </row>
    <row r="81" spans="2:20" hidden="1" x14ac:dyDescent="0.2">
      <c r="B81" s="227"/>
      <c r="C81" s="79"/>
      <c r="D81" s="7"/>
      <c r="E81" s="7"/>
      <c r="F81" s="7"/>
      <c r="G81" s="7"/>
      <c r="H81" s="7"/>
      <c r="I81" s="7"/>
      <c r="J81" s="7"/>
      <c r="K81" s="7"/>
      <c r="L81" s="7"/>
      <c r="M81" s="7"/>
      <c r="N81" s="228"/>
      <c r="O81" s="4"/>
    </row>
    <row r="82" spans="2:20" hidden="1" x14ac:dyDescent="0.2">
      <c r="B82" s="227"/>
      <c r="C82" s="108" t="s">
        <v>327</v>
      </c>
      <c r="D82" s="7"/>
      <c r="E82" s="7"/>
      <c r="F82" s="161" t="s">
        <v>329</v>
      </c>
      <c r="G82" s="1"/>
      <c r="H82" s="7"/>
      <c r="I82" s="7"/>
      <c r="J82" s="7"/>
      <c r="K82" s="7"/>
      <c r="L82" s="7"/>
      <c r="M82" s="7"/>
      <c r="N82" s="228"/>
      <c r="O82" s="4"/>
      <c r="Q82" s="111"/>
    </row>
    <row r="83" spans="2:20" hidden="1" x14ac:dyDescent="0.2">
      <c r="B83" s="227"/>
      <c r="C83" s="27" t="s">
        <v>38</v>
      </c>
      <c r="D83" s="27" t="s">
        <v>124</v>
      </c>
      <c r="E83" s="170" t="s">
        <v>358</v>
      </c>
      <c r="F83" s="27" t="s">
        <v>61</v>
      </c>
      <c r="G83" s="27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hidden="1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hidden="1" x14ac:dyDescent="0.25">
      <c r="B85" s="227"/>
      <c r="C85" s="29">
        <v>6</v>
      </c>
      <c r="D85" s="34" t="str">
        <f>IF(H47="","",H47)</f>
        <v/>
      </c>
      <c r="E85" s="100">
        <v>2.5</v>
      </c>
      <c r="F85" s="33"/>
      <c r="G85" s="33"/>
      <c r="H85" s="34" t="str">
        <f>IF(AND(F85="",G85=""),"",AVERAGE(F85:G85))</f>
        <v/>
      </c>
      <c r="I85" s="44" t="str">
        <f>IF(OR(D85="",H85=""),"",D85/H85)</f>
        <v/>
      </c>
      <c r="J85" s="44">
        <f>Data!H52</f>
        <v>0.78400000000000003</v>
      </c>
      <c r="K85" s="35" t="str">
        <f>IF(I85="","",100*(I85-J85)/J85)</f>
        <v/>
      </c>
      <c r="L85" s="35">
        <v>2</v>
      </c>
      <c r="M85" s="36" t="str">
        <f>IF(K85="","",IF(ABS(K85)&lt;=L85/2,"PASS",IF(ABS(K85)&lt;=L85,"MARGINAL","FAIL")))</f>
        <v/>
      </c>
      <c r="N85" s="231"/>
      <c r="O85" s="4"/>
      <c r="T85" s="169"/>
    </row>
    <row r="86" spans="2:20" ht="15" hidden="1" x14ac:dyDescent="0.25">
      <c r="B86" s="227"/>
      <c r="C86" s="29">
        <v>10</v>
      </c>
      <c r="D86" s="34" t="str">
        <f>IF(H48="","",H48)</f>
        <v/>
      </c>
      <c r="E86" s="100">
        <v>2.5</v>
      </c>
      <c r="F86" s="49"/>
      <c r="G86" s="49"/>
      <c r="H86" s="38" t="str">
        <f>IF(AND(F86="",G86=""),"",AVERAGE(F86:G86))</f>
        <v/>
      </c>
      <c r="I86" s="44" t="str">
        <f>IF(OR(D86="",H86=""),"",D86/H86)</f>
        <v/>
      </c>
      <c r="J86" s="44">
        <f>Data!H53</f>
        <v>0.84099999999999997</v>
      </c>
      <c r="K86" s="35" t="str">
        <f>IF(I86="","",100*(I86-J86)/J86)</f>
        <v/>
      </c>
      <c r="L86" s="39">
        <v>2</v>
      </c>
      <c r="M86" s="36" t="str">
        <f>IF(K86="","",IF(ABS(K86)&lt;=L86/2,"PASS",IF(ABS(K86)&lt;=L86,"MARGINAL","FAIL")))</f>
        <v/>
      </c>
      <c r="N86" s="231"/>
      <c r="O86" s="4"/>
      <c r="T86" s="169"/>
    </row>
    <row r="87" spans="2:20" ht="15" hidden="1" x14ac:dyDescent="0.25">
      <c r="B87" s="227"/>
      <c r="C87" s="53" t="s">
        <v>137</v>
      </c>
      <c r="D87" s="34" t="str">
        <f>IF(H49="","",H49)</f>
        <v/>
      </c>
      <c r="E87" s="100">
        <v>2.5</v>
      </c>
      <c r="F87" s="49"/>
      <c r="G87" s="49"/>
      <c r="H87" s="38" t="str">
        <f>IF(AND(F87="",G87=""),"",AVERAGE(F87:G87))</f>
        <v/>
      </c>
      <c r="I87" s="44" t="str">
        <f>IF(OR(D87="",H87=""),"",D87/H87)</f>
        <v/>
      </c>
      <c r="J87" s="44">
        <f>Data!H54</f>
        <v>0.80800000000000005</v>
      </c>
      <c r="K87" s="35" t="str">
        <f>IF(I87="","",100*(I87-J87)/J87)</f>
        <v/>
      </c>
      <c r="L87" s="39">
        <v>2</v>
      </c>
      <c r="M87" s="36" t="str">
        <f>IF(K87="","",IF(ABS(K87)&lt;=L87/2,"PASS",IF(ABS(K87)&lt;=L87,"MARGINAL","FAIL")))</f>
        <v/>
      </c>
      <c r="N87" s="231"/>
      <c r="O87" s="4"/>
      <c r="T87" s="169"/>
    </row>
    <row r="88" spans="2:20" ht="15" hidden="1" x14ac:dyDescent="0.25">
      <c r="B88" s="227"/>
      <c r="C88" s="29">
        <v>15</v>
      </c>
      <c r="D88" s="34" t="str">
        <f>IF(H50="","",H50)</f>
        <v/>
      </c>
      <c r="E88" s="100">
        <v>2.5</v>
      </c>
      <c r="F88" s="49"/>
      <c r="G88" s="49"/>
      <c r="H88" s="38" t="str">
        <f>IF(AND(F88="",G88=""),"",AVERAGE(F88:G88))</f>
        <v/>
      </c>
      <c r="I88" s="44" t="str">
        <f>IF(OR(D88="",H88=""),"",D88/H88)</f>
        <v/>
      </c>
      <c r="J88" s="44">
        <f>Data!H55</f>
        <v>0.879</v>
      </c>
      <c r="K88" s="35" t="str">
        <f>IF(I88="","",100*(I88-J88)/J88)</f>
        <v/>
      </c>
      <c r="L88" s="39">
        <v>2</v>
      </c>
      <c r="M88" s="36" t="str">
        <f>IF(K88="","",IF(ABS(K88)&lt;=L88/2,"PASS",IF(ABS(K88)&lt;=L88,"MARGINAL","FAIL")))</f>
        <v/>
      </c>
      <c r="N88" s="231"/>
      <c r="O88" s="4"/>
    </row>
    <row r="89" spans="2:20" hidden="1" x14ac:dyDescent="0.2">
      <c r="B89" s="22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228"/>
      <c r="O89" s="4"/>
    </row>
    <row r="90" spans="2:20" ht="15" hidden="1" x14ac:dyDescent="0.2">
      <c r="B90" s="227"/>
      <c r="C90" s="108" t="s">
        <v>385</v>
      </c>
      <c r="D90" s="7"/>
      <c r="E90" s="7"/>
      <c r="F90" s="161" t="s">
        <v>330</v>
      </c>
      <c r="G90" s="1"/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hidden="1" x14ac:dyDescent="0.2">
      <c r="B91" s="227"/>
      <c r="C91" s="79" t="s">
        <v>456</v>
      </c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235"/>
      <c r="O91" s="4"/>
    </row>
    <row r="92" spans="2:20" hidden="1" x14ac:dyDescent="0.2">
      <c r="B92" s="227"/>
      <c r="C92" s="79" t="s">
        <v>254</v>
      </c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235"/>
      <c r="O92" s="4"/>
    </row>
    <row r="93" spans="2:20" hidden="1" x14ac:dyDescent="0.2">
      <c r="B93" s="227"/>
      <c r="C93" s="79" t="s">
        <v>457</v>
      </c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235"/>
      <c r="O93" s="4"/>
    </row>
    <row r="94" spans="2:20" hidden="1" x14ac:dyDescent="0.2">
      <c r="B94" s="227"/>
      <c r="C94" s="79" t="s">
        <v>454</v>
      </c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235"/>
      <c r="O94" s="4"/>
    </row>
    <row r="95" spans="2:20" hidden="1" x14ac:dyDescent="0.2">
      <c r="B95" s="227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235"/>
      <c r="O95" s="4"/>
    </row>
    <row r="96" spans="2:20" ht="14.25" hidden="1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hidden="1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hidden="1" x14ac:dyDescent="0.2">
      <c r="B98" s="227"/>
      <c r="C98" s="31" t="s">
        <v>229</v>
      </c>
      <c r="D98" s="31" t="s">
        <v>214</v>
      </c>
      <c r="E98" s="127" t="s">
        <v>215</v>
      </c>
      <c r="F98" s="127" t="s">
        <v>450</v>
      </c>
      <c r="G98" s="109"/>
      <c r="H98" s="23" t="str">
        <f>IF(OR($J$35="",$J$37="",G98=""),"",G98*$J$35*$J$37)</f>
        <v/>
      </c>
      <c r="I98" s="138">
        <f>Data!S52</f>
        <v>0.23</v>
      </c>
      <c r="J98" s="127" t="str">
        <f>IF(H98="","",100*ABS(H98-I98)/I98)</f>
        <v/>
      </c>
      <c r="K98" s="127">
        <v>5</v>
      </c>
      <c r="L98" s="36" t="str">
        <f>IF(J98="","",IF(ABS(J98)&lt;=K98/2,"PASS",IF(ABS(J98)&lt;=K98,"MARGINAL","FAIL")))</f>
        <v/>
      </c>
      <c r="M98" s="139"/>
      <c r="N98" s="237"/>
      <c r="O98" s="4"/>
    </row>
    <row r="99" spans="2:20" hidden="1" x14ac:dyDescent="0.2">
      <c r="B99" s="227"/>
      <c r="C99" s="31" t="s">
        <v>211</v>
      </c>
      <c r="D99" s="128" t="s">
        <v>214</v>
      </c>
      <c r="E99" s="127" t="s">
        <v>215</v>
      </c>
      <c r="F99" s="127" t="s">
        <v>451</v>
      </c>
      <c r="G99" s="109"/>
      <c r="H99" s="23" t="str">
        <f>IF(OR($J$35="",$J$37="",G99=""),"",G99*$J$35*$J$37)</f>
        <v/>
      </c>
      <c r="I99" s="138">
        <f>Data!S53</f>
        <v>1.06</v>
      </c>
      <c r="J99" s="127" t="str">
        <f>IF(H99="","",100*ABS(H99-I99)/I99)</f>
        <v/>
      </c>
      <c r="K99" s="127">
        <v>5</v>
      </c>
      <c r="L99" s="36" t="str">
        <f>IF(J99="","",IF(ABS(J99)&lt;=K99/2,"PASS",IF(ABS(J99)&lt;=K99,"MARGINAL","FAIL")))</f>
        <v/>
      </c>
      <c r="M99" s="139"/>
      <c r="N99" s="237"/>
      <c r="O99" s="4"/>
    </row>
    <row r="100" spans="2:20" hidden="1" x14ac:dyDescent="0.2">
      <c r="B100" s="227"/>
      <c r="C100" s="31" t="s">
        <v>212</v>
      </c>
      <c r="D100" s="128" t="s">
        <v>215</v>
      </c>
      <c r="E100" s="127" t="s">
        <v>214</v>
      </c>
      <c r="F100" s="127" t="s">
        <v>452</v>
      </c>
      <c r="G100" s="109"/>
      <c r="H100" s="23" t="str">
        <f>IF(OR($J$35="",$J$37="",G100=""),"",G100*$J$35*$J$37)</f>
        <v/>
      </c>
      <c r="I100" s="138">
        <f>Data!S54</f>
        <v>0.28000000000000003</v>
      </c>
      <c r="J100" s="127" t="str">
        <f>IF(H100="","",100*ABS(H100-I100)/I100)</f>
        <v/>
      </c>
      <c r="K100" s="127">
        <v>5</v>
      </c>
      <c r="L100" s="36" t="str">
        <f>IF(J100="","",IF(ABS(J100)&lt;=K100/2,"PASS",IF(ABS(J100)&lt;=K100,"MARGINAL","FAIL")))</f>
        <v/>
      </c>
      <c r="M100" s="139"/>
      <c r="N100" s="237"/>
      <c r="O100" s="4"/>
    </row>
    <row r="101" spans="2:20" hidden="1" x14ac:dyDescent="0.2">
      <c r="B101" s="230"/>
      <c r="C101" s="31" t="s">
        <v>449</v>
      </c>
      <c r="D101" s="128" t="s">
        <v>215</v>
      </c>
      <c r="E101" s="127" t="s">
        <v>214</v>
      </c>
      <c r="F101" s="127" t="s">
        <v>453</v>
      </c>
      <c r="G101" s="109"/>
      <c r="H101" s="23" t="str">
        <f>IF(OR($J$35="",$J$37="",G101=""),"",G101*$J$35*$J$37)</f>
        <v/>
      </c>
      <c r="I101" s="138">
        <f>Data!S55</f>
        <v>2.35</v>
      </c>
      <c r="J101" s="127" t="str">
        <f>IF(H101="","",100*ABS(H101-I101)/I101)</f>
        <v/>
      </c>
      <c r="K101" s="127">
        <v>5</v>
      </c>
      <c r="L101" s="36" t="str">
        <f>IF(J101="","",IF(ABS(J101)&lt;=K101/2,"PASS",IF(ABS(J101)&lt;=K101,"MARGINAL","FAIL")))</f>
        <v/>
      </c>
      <c r="M101" s="80"/>
      <c r="N101" s="228"/>
      <c r="O101" s="4"/>
    </row>
    <row r="102" spans="2:20" hidden="1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05"/>
      <c r="L103" s="305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hidden="1" x14ac:dyDescent="0.35">
      <c r="B105" s="227"/>
      <c r="C105" s="22" t="s">
        <v>250</v>
      </c>
      <c r="D105" s="59"/>
      <c r="E105" s="7"/>
      <c r="F105" s="22" t="s">
        <v>249</v>
      </c>
      <c r="G105" s="59"/>
      <c r="H105" s="1"/>
      <c r="I105" s="22" t="s">
        <v>262</v>
      </c>
      <c r="J105" s="23" t="str">
        <f>IF(OR(D105="",G105=""),"",(760/D105)*(273.15+G105)/295.15)</f>
        <v/>
      </c>
      <c r="K105" s="80"/>
      <c r="L105" s="80"/>
      <c r="M105" s="80"/>
      <c r="N105" s="228"/>
      <c r="O105" s="4"/>
      <c r="T105" s="5"/>
    </row>
    <row r="106" spans="2:20" hidden="1" x14ac:dyDescent="0.2">
      <c r="B106" s="227"/>
      <c r="C106" s="7"/>
      <c r="D106" s="7"/>
      <c r="E106" s="7"/>
      <c r="F106" s="7"/>
      <c r="G106" s="7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hidden="1" x14ac:dyDescent="0.25">
      <c r="B107" s="227"/>
      <c r="C107" s="24" t="s">
        <v>123</v>
      </c>
      <c r="D107" s="21"/>
      <c r="E107" s="80"/>
      <c r="F107" s="24" t="s">
        <v>28</v>
      </c>
      <c r="G107" s="25"/>
      <c r="H107" s="7"/>
      <c r="I107" s="185" t="s">
        <v>479</v>
      </c>
      <c r="J107" s="71" t="str">
        <f>IF(D107="","",VLOOKUP(D107,Data!G31:K34,5,FALSE))</f>
        <v/>
      </c>
      <c r="K107" s="80"/>
      <c r="L107" s="80"/>
      <c r="M107" s="80"/>
      <c r="N107" s="228"/>
      <c r="O107" s="4"/>
    </row>
    <row r="108" spans="2:20" hidden="1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hidden="1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hidden="1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hidden="1" x14ac:dyDescent="0.2">
      <c r="B111" s="227"/>
      <c r="C111" s="79" t="s">
        <v>496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hidden="1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hidden="1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hidden="1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hidden="1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hidden="1" x14ac:dyDescent="0.2">
      <c r="B116" s="264">
        <v>1.5</v>
      </c>
      <c r="C116" s="50" t="s">
        <v>175</v>
      </c>
      <c r="D116" s="202" t="str">
        <f>IF(H$12="","",VLOOKUP(H$12,Data!$AA$32:$AG$34,3,FALSE))</f>
        <v/>
      </c>
      <c r="E116" s="109"/>
      <c r="F116" s="109"/>
      <c r="G116" s="109"/>
      <c r="H116" s="44" t="str">
        <f>IF(OR(E116&lt;&gt;"",F116&lt;&gt;"",G116&lt;&gt;""),AVERAGE(E116:G116),"")</f>
        <v/>
      </c>
      <c r="I116" s="35" t="str">
        <f>IF(OR(H116="",D116="",$J$105="",$J$107=""),"",H116*D116*$J$105*$J$107)</f>
        <v/>
      </c>
      <c r="J116" s="35">
        <f>IF(C116="","",100)</f>
        <v>100</v>
      </c>
      <c r="K116" s="35" t="str">
        <f>IF(I116&lt;&gt;"",I116-J116,"")</f>
        <v/>
      </c>
      <c r="L116" s="35">
        <f>IF(C116="","",2)</f>
        <v>2</v>
      </c>
      <c r="M116" s="36" t="str">
        <f>IF(K116="","",IF(ABS(K116)&lt;=L116/2,"PASS",IF(ABS(K116)&lt;=L116,"MARGINAL","FAIL")))</f>
        <v/>
      </c>
      <c r="N116" s="231"/>
      <c r="P116" s="96" t="s">
        <v>159</v>
      </c>
    </row>
    <row r="117" spans="2:16" hidden="1" x14ac:dyDescent="0.2">
      <c r="B117" s="264">
        <v>2.5</v>
      </c>
      <c r="C117" s="50" t="s">
        <v>176</v>
      </c>
      <c r="D117" s="202" t="str">
        <f>IF(H$12="","",VLOOKUP(H$12,Data!$AA$32:$AG$34,4,FALSE))</f>
        <v/>
      </c>
      <c r="E117" s="46"/>
      <c r="F117" s="46"/>
      <c r="G117" s="46"/>
      <c r="H117" s="44" t="str">
        <f>IF(OR(E117&lt;&gt;"",F117&lt;&gt;"",G117&lt;&gt;""),AVERAGE(E117:G117),"")</f>
        <v/>
      </c>
      <c r="I117" s="35" t="str">
        <f>IF(OR(H117="",D117="",$J$105="",$J$107=""),"",H117*D117*$J$105*$J$107)</f>
        <v/>
      </c>
      <c r="J117" s="39">
        <f>IF(C117="","",100)</f>
        <v>100</v>
      </c>
      <c r="K117" s="39" t="str">
        <f>IF(I117&lt;&gt;"",I117-J117,"")</f>
        <v/>
      </c>
      <c r="L117" s="39">
        <f>IF(C117="","",2)</f>
        <v>2</v>
      </c>
      <c r="M117" s="36" t="str">
        <f>IF(K117="","",IF(ABS(K117)&lt;=L117/2,"PASS",IF(ABS(K117)&lt;=L117,"MARGINAL","FAIL")))</f>
        <v/>
      </c>
      <c r="N117" s="231"/>
      <c r="P117" s="96" t="s">
        <v>160</v>
      </c>
    </row>
    <row r="118" spans="2:16" hidden="1" x14ac:dyDescent="0.2">
      <c r="B118" s="264">
        <v>2.5</v>
      </c>
      <c r="C118" s="50" t="s">
        <v>177</v>
      </c>
      <c r="D118" s="202" t="str">
        <f>IF(H$12="","",VLOOKUP(H$12,Data!$AA$32:$AG$34,5,FALSE))</f>
        <v/>
      </c>
      <c r="E118" s="109"/>
      <c r="F118" s="109"/>
      <c r="G118" s="109"/>
      <c r="H118" s="44" t="str">
        <f>IF(OR(E118&lt;&gt;"",F118&lt;&gt;"",G118&lt;&gt;""),AVERAGE(E118:G118),"")</f>
        <v/>
      </c>
      <c r="I118" s="35" t="str">
        <f>IF(OR(H118="",D118="",$J$105="",$J$107=""),"",H118*D118*$J$105*$J$107)</f>
        <v/>
      </c>
      <c r="J118" s="35">
        <f>IF(C118="","",100)</f>
        <v>100</v>
      </c>
      <c r="K118" s="35" t="str">
        <f>IF(I118&lt;&gt;"",I118-J118,"")</f>
        <v/>
      </c>
      <c r="L118" s="35">
        <f>IF(C118="","",2)</f>
        <v>2</v>
      </c>
      <c r="M118" s="36" t="str">
        <f>IF(K118="","",IF(ABS(K118)&lt;=L118/2,"PASS",IF(ABS(K118)&lt;=L118,"MARGINAL","FAIL")))</f>
        <v/>
      </c>
      <c r="N118" s="231"/>
      <c r="P118" s="96" t="s">
        <v>161</v>
      </c>
    </row>
    <row r="119" spans="2:16" hidden="1" x14ac:dyDescent="0.2">
      <c r="B119" s="264">
        <v>2.5</v>
      </c>
      <c r="C119" s="50" t="s">
        <v>178</v>
      </c>
      <c r="D119" s="202" t="str">
        <f>IF(H$12="","",VLOOKUP(H$12,Data!$AA$32:$AG$34,6,FALSE))</f>
        <v/>
      </c>
      <c r="E119" s="109"/>
      <c r="F119" s="109"/>
      <c r="G119" s="109"/>
      <c r="H119" s="44" t="str">
        <f>IF(OR(E119&lt;&gt;"",F119&lt;&gt;"",G119&lt;&gt;""),AVERAGE(E119:G119),"")</f>
        <v/>
      </c>
      <c r="I119" s="35" t="str">
        <f>IF(OR(H119="",D119="",$J$105="",$J$107=""),"",H119*D119*$J$105*$J$107)</f>
        <v/>
      </c>
      <c r="J119" s="35">
        <f>IF(C119="","",100)</f>
        <v>100</v>
      </c>
      <c r="K119" s="35" t="str">
        <f>IF(I119&lt;&gt;"",I119-J119,"")</f>
        <v/>
      </c>
      <c r="L119" s="35">
        <f>IF(C119="","",2)</f>
        <v>2</v>
      </c>
      <c r="M119" s="36" t="str">
        <f>IF(K119="","",IF(ABS(K119)&lt;=L119/2,"PASS",IF(ABS(K119)&lt;=L119,"MARGINAL","FAIL")))</f>
        <v/>
      </c>
      <c r="N119" s="231"/>
      <c r="P119" s="96" t="s">
        <v>162</v>
      </c>
    </row>
    <row r="120" spans="2:16" hidden="1" x14ac:dyDescent="0.2">
      <c r="B120" s="264">
        <v>2.5</v>
      </c>
      <c r="C120" s="50" t="s">
        <v>179</v>
      </c>
      <c r="D120" s="202" t="str">
        <f>IF(H$12="","",VLOOKUP(H$12,Data!$AA$32:$AG$34,7,FALSE))</f>
        <v/>
      </c>
      <c r="E120" s="109"/>
      <c r="F120" s="109"/>
      <c r="G120" s="109"/>
      <c r="H120" s="44" t="str">
        <f>IF(OR(E120&lt;&gt;"",F120&lt;&gt;"",G120&lt;&gt;""),AVERAGE(E120:G120),"")</f>
        <v/>
      </c>
      <c r="I120" s="35" t="str">
        <f>IF(OR(H120="",D120="",$J$105="",$J$107=""),"",H120*D120*$J$105*$J$107)</f>
        <v/>
      </c>
      <c r="J120" s="35">
        <f>IF(C120="","",100)</f>
        <v>100</v>
      </c>
      <c r="K120" s="35" t="str">
        <f>IF(I120&lt;&gt;"",I120-J120,"")</f>
        <v/>
      </c>
      <c r="L120" s="35">
        <f>IF(C120="","",2)</f>
        <v>2</v>
      </c>
      <c r="M120" s="36" t="str">
        <f>IF(K120="","",IF(ABS(K120)&lt;=L120/2,"PASS",IF(ABS(K120)&lt;=L120,"MARGINAL","FAIL")))</f>
        <v/>
      </c>
      <c r="N120" s="231"/>
      <c r="P120" s="96" t="s">
        <v>163</v>
      </c>
    </row>
    <row r="121" spans="2:16" hidden="1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05"/>
      <c r="L122" s="305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hidden="1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hidden="1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hidden="1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hidden="1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hidden="1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hidden="1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hidden="1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hidden="1" x14ac:dyDescent="0.2">
      <c r="B131" s="227"/>
      <c r="C131" s="97" t="s">
        <v>166</v>
      </c>
      <c r="D131" s="31" t="s">
        <v>169</v>
      </c>
      <c r="E131" s="59"/>
      <c r="F131" s="59"/>
      <c r="G131" s="59"/>
      <c r="H131" s="59"/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/>
      </c>
      <c r="K131" s="90" t="s">
        <v>168</v>
      </c>
      <c r="L131" s="80"/>
      <c r="M131" s="7"/>
      <c r="N131" s="228"/>
    </row>
    <row r="132" spans="2:14" hidden="1" x14ac:dyDescent="0.2">
      <c r="B132" s="227"/>
      <c r="C132" s="43">
        <v>6</v>
      </c>
      <c r="D132" s="43" t="s">
        <v>165</v>
      </c>
      <c r="E132" s="59"/>
      <c r="F132" s="59"/>
      <c r="G132" s="59"/>
      <c r="H132" s="59"/>
      <c r="I132" s="35">
        <f t="shared" si="0"/>
        <v>2</v>
      </c>
      <c r="J132" s="36" t="str">
        <f t="shared" si="1"/>
        <v/>
      </c>
      <c r="K132" s="90" t="s">
        <v>170</v>
      </c>
      <c r="L132" s="1"/>
      <c r="M132" s="7"/>
      <c r="N132" s="228"/>
    </row>
    <row r="133" spans="2:14" hidden="1" x14ac:dyDescent="0.2">
      <c r="B133" s="227"/>
      <c r="C133" s="43">
        <v>10</v>
      </c>
      <c r="D133" s="43" t="s">
        <v>165</v>
      </c>
      <c r="E133" s="59"/>
      <c r="F133" s="59"/>
      <c r="G133" s="59"/>
      <c r="H133" s="59"/>
      <c r="I133" s="35">
        <f t="shared" si="0"/>
        <v>2</v>
      </c>
      <c r="J133" s="36" t="str">
        <f t="shared" si="1"/>
        <v/>
      </c>
      <c r="K133" s="90" t="s">
        <v>170</v>
      </c>
      <c r="L133" s="7"/>
      <c r="M133" s="7"/>
      <c r="N133" s="228"/>
    </row>
    <row r="134" spans="2:14" hidden="1" x14ac:dyDescent="0.2">
      <c r="B134" s="227"/>
      <c r="C134" s="43">
        <v>15</v>
      </c>
      <c r="D134" s="43" t="s">
        <v>165</v>
      </c>
      <c r="E134" s="59"/>
      <c r="F134" s="59"/>
      <c r="G134" s="59"/>
      <c r="H134" s="59"/>
      <c r="I134" s="35">
        <f t="shared" si="0"/>
        <v>2</v>
      </c>
      <c r="J134" s="36" t="str">
        <f t="shared" si="1"/>
        <v/>
      </c>
      <c r="K134" s="90" t="s">
        <v>170</v>
      </c>
      <c r="L134" s="7"/>
      <c r="M134" s="7"/>
      <c r="N134" s="228"/>
    </row>
    <row r="135" spans="2:14" hidden="1" x14ac:dyDescent="0.2">
      <c r="B135" s="227"/>
      <c r="C135" s="43">
        <v>6</v>
      </c>
      <c r="D135" s="43" t="s">
        <v>167</v>
      </c>
      <c r="E135" s="110" t="str">
        <f>IF(OR(E131="",E132=""),"",E132-E131)</f>
        <v/>
      </c>
      <c r="F135" s="110" t="str">
        <f>IF(OR(F131="",F132=""),"",F132-F131)</f>
        <v/>
      </c>
      <c r="G135" s="110" t="str">
        <f>IF(OR(G131="",G132=""),"",G132-G131)</f>
        <v/>
      </c>
      <c r="H135" s="110" t="str">
        <f>IF(OR(H131="",H132=""),"",H132-H131)</f>
        <v/>
      </c>
      <c r="I135" s="35">
        <f t="shared" si="0"/>
        <v>2</v>
      </c>
      <c r="J135" s="36" t="str">
        <f t="shared" si="1"/>
        <v/>
      </c>
      <c r="K135" s="90" t="s">
        <v>171</v>
      </c>
      <c r="L135" s="1"/>
      <c r="M135" s="7"/>
      <c r="N135" s="228"/>
    </row>
    <row r="136" spans="2:14" hidden="1" x14ac:dyDescent="0.2">
      <c r="B136" s="227"/>
      <c r="C136" s="43">
        <v>10</v>
      </c>
      <c r="D136" s="43" t="s">
        <v>167</v>
      </c>
      <c r="E136" s="110" t="str">
        <f>IF(OR(E131="",E133=""),"",E133-E131)</f>
        <v/>
      </c>
      <c r="F136" s="110" t="str">
        <f>IF(OR(F131="",F133=""),"",F133-F131)</f>
        <v/>
      </c>
      <c r="G136" s="110" t="str">
        <f>IF(OR(G131="",G133=""),"",G133-G131)</f>
        <v/>
      </c>
      <c r="H136" s="110" t="str">
        <f>IF(OR(H131="",H133=""),"",H133-H131)</f>
        <v/>
      </c>
      <c r="I136" s="35">
        <f t="shared" si="0"/>
        <v>2</v>
      </c>
      <c r="J136" s="36" t="str">
        <f t="shared" si="1"/>
        <v/>
      </c>
      <c r="K136" s="90" t="s">
        <v>171</v>
      </c>
      <c r="L136" s="7"/>
      <c r="M136" s="7"/>
      <c r="N136" s="228"/>
    </row>
    <row r="137" spans="2:14" hidden="1" x14ac:dyDescent="0.2">
      <c r="B137" s="227"/>
      <c r="C137" s="43">
        <v>15</v>
      </c>
      <c r="D137" s="43" t="s">
        <v>167</v>
      </c>
      <c r="E137" s="110" t="str">
        <f>IF(OR(E131="",E134=""),"",E134-E131)</f>
        <v/>
      </c>
      <c r="F137" s="110" t="str">
        <f>IF(OR(F131="",F134=""),"",F134-F131)</f>
        <v/>
      </c>
      <c r="G137" s="110" t="str">
        <f>IF(OR(G131="",G134=""),"",G134-G131)</f>
        <v/>
      </c>
      <c r="H137" s="110" t="str">
        <f>IF(OR(H131="",H134=""),"",H134-H131)</f>
        <v/>
      </c>
      <c r="I137" s="35">
        <f t="shared" si="0"/>
        <v>2</v>
      </c>
      <c r="J137" s="36" t="str">
        <f t="shared" si="1"/>
        <v/>
      </c>
      <c r="K137" s="90" t="s">
        <v>171</v>
      </c>
      <c r="L137" s="7"/>
      <c r="M137" s="7"/>
      <c r="N137" s="228"/>
    </row>
    <row r="138" spans="2:14" hidden="1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hidden="1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hidden="1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hidden="1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hidden="1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hidden="1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hidden="1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hidden="1" x14ac:dyDescent="0.2">
      <c r="B145" s="227"/>
      <c r="C145" s="97" t="s">
        <v>166</v>
      </c>
      <c r="D145" s="31" t="s">
        <v>169</v>
      </c>
      <c r="E145" s="59"/>
      <c r="F145" s="59"/>
      <c r="G145" s="59"/>
      <c r="H145" s="59"/>
      <c r="I145" s="35">
        <v>1</v>
      </c>
      <c r="J145" s="36" t="str">
        <f>IF(OR(C145="",E145="",F145="",G145="",H145=""),"",IF(AND(ABS(E145)&lt;=I145,ABS(F145)&lt;=I145,ABS(G145)&lt;=I145,ABS(H145)&lt;=I145),"PASS","FAIL"))</f>
        <v/>
      </c>
      <c r="K145" s="219" t="s">
        <v>168</v>
      </c>
      <c r="L145" s="80"/>
      <c r="M145" s="80"/>
      <c r="N145" s="228"/>
    </row>
    <row r="146" spans="2:17" hidden="1" x14ac:dyDescent="0.2">
      <c r="B146" s="227"/>
      <c r="C146" s="43">
        <v>6</v>
      </c>
      <c r="D146" s="43" t="s">
        <v>165</v>
      </c>
      <c r="E146" s="59"/>
      <c r="F146" s="59"/>
      <c r="G146" s="59"/>
      <c r="H146" s="59"/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/>
      </c>
      <c r="K146" s="219" t="s">
        <v>170</v>
      </c>
      <c r="L146" s="80"/>
      <c r="M146" s="80"/>
      <c r="N146" s="228"/>
    </row>
    <row r="147" spans="2:17" hidden="1" x14ac:dyDescent="0.2">
      <c r="B147" s="227"/>
      <c r="C147" s="43">
        <v>6</v>
      </c>
      <c r="D147" s="43" t="s">
        <v>167</v>
      </c>
      <c r="E147" s="110" t="str">
        <f>IF(OR(E145="",E146=""),"",E146-E145)</f>
        <v/>
      </c>
      <c r="F147" s="110" t="str">
        <f>IF(OR(F145="",F146=""),"",F146-F145)</f>
        <v/>
      </c>
      <c r="G147" s="110" t="str">
        <f>IF(OR(G145="",G146=""),"",G146-G145)</f>
        <v/>
      </c>
      <c r="H147" s="110" t="str">
        <f>IF(OR(H145="",H146=""),"",H146-H145)</f>
        <v/>
      </c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/>
      </c>
      <c r="K147" s="219" t="s">
        <v>171</v>
      </c>
      <c r="L147" s="80"/>
      <c r="M147" s="80"/>
      <c r="N147" s="228"/>
    </row>
    <row r="148" spans="2:17" hidden="1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hidden="1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hidden="1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hidden="1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hidden="1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hidden="1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hidden="1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hidden="1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hidden="1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hidden="1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hidden="1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hidden="1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hidden="1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hidden="1" x14ac:dyDescent="0.2">
      <c r="B161" s="227"/>
      <c r="C161" s="43">
        <v>6</v>
      </c>
      <c r="D161" s="59"/>
      <c r="E161" s="59"/>
      <c r="F161" s="59"/>
      <c r="G161" s="59"/>
      <c r="H161" s="59"/>
      <c r="I161" s="59"/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/>
      </c>
      <c r="M161" s="7"/>
      <c r="N161" s="228"/>
    </row>
    <row r="162" spans="2:16" hidden="1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hidden="1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hidden="1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hidden="1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hidden="1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hidden="1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hidden="1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hidden="1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hidden="1" x14ac:dyDescent="0.2">
      <c r="B170" s="227"/>
      <c r="C170" s="32">
        <v>6</v>
      </c>
      <c r="D170" s="112"/>
      <c r="E170" s="112"/>
      <c r="F170" s="112"/>
      <c r="G170" s="112"/>
      <c r="H170" s="112"/>
      <c r="I170" s="112"/>
      <c r="J170" s="133"/>
      <c r="K170" s="105" t="str">
        <f t="array" ref="K170">IF(OR(D170:I170=""),"",IF(AND(ABS(D170)&lt;=D171,ABS(E170)&lt;=E171,ABS(F170)&lt;=F171,ABS(G170)&lt;=G171,ABS(H170)&lt;=H171,ABS(I170)&lt;=I171,J170="NO"),"PASS","FAIL"))</f>
        <v/>
      </c>
      <c r="L170" s="107"/>
      <c r="M170" s="107"/>
      <c r="N170" s="236"/>
    </row>
    <row r="171" spans="2:16" hidden="1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hidden="1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hidden="1" x14ac:dyDescent="0.2">
      <c r="B173" s="227"/>
      <c r="C173" s="7" t="s">
        <v>93</v>
      </c>
      <c r="D173" s="7"/>
      <c r="E173" s="7"/>
      <c r="F173" s="296"/>
      <c r="G173" s="297"/>
      <c r="H173" s="297"/>
      <c r="I173" s="297"/>
      <c r="J173" s="297"/>
      <c r="K173" s="297"/>
      <c r="L173" s="298"/>
      <c r="M173" s="7"/>
      <c r="N173" s="228"/>
      <c r="P173" s="96"/>
    </row>
    <row r="174" spans="2:16" hidden="1" x14ac:dyDescent="0.2">
      <c r="B174" s="227"/>
      <c r="C174" s="7"/>
      <c r="D174" s="7"/>
      <c r="E174" s="7"/>
      <c r="F174" s="299"/>
      <c r="G174" s="300"/>
      <c r="H174" s="300"/>
      <c r="I174" s="300"/>
      <c r="J174" s="300"/>
      <c r="K174" s="300"/>
      <c r="L174" s="301"/>
      <c r="M174" s="7"/>
      <c r="N174" s="228"/>
    </row>
    <row r="175" spans="2:16" hidden="1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hidden="1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hidden="1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hidden="1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hidden="1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hidden="1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hidden="1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hidden="1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hidden="1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hidden="1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hidden="1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hidden="1" x14ac:dyDescent="0.2">
      <c r="B186" s="227"/>
      <c r="C186" s="33"/>
      <c r="D186" s="34">
        <v>4</v>
      </c>
      <c r="E186" s="34">
        <v>0.1</v>
      </c>
      <c r="F186" s="67" t="str">
        <f>IF(C186="","",IF(ABS(C186-D186)&lt;=E186,"PASS","FAIL"))</f>
        <v/>
      </c>
      <c r="G186" s="59"/>
      <c r="H186" s="35">
        <v>10</v>
      </c>
      <c r="I186" s="67" t="str">
        <f>IF(G186="","",IF(ABS(G186)&lt;=H186,"PASS","FAIL"))</f>
        <v/>
      </c>
      <c r="J186" s="195"/>
      <c r="K186" s="41"/>
      <c r="L186" s="36" t="str">
        <f>IF(OR(F186="",I186="",J186=""),"",IF(AND(F186="PASS",I186="PASS",J186="PASS"),"PASS","FAIL"))</f>
        <v/>
      </c>
      <c r="M186" s="7"/>
      <c r="N186" s="228"/>
    </row>
    <row r="187" spans="2:14" hidden="1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hidden="1" x14ac:dyDescent="0.2">
      <c r="B188" s="227"/>
      <c r="C188" s="7" t="s">
        <v>97</v>
      </c>
      <c r="D188" s="296"/>
      <c r="E188" s="297"/>
      <c r="F188" s="297"/>
      <c r="G188" s="297"/>
      <c r="H188" s="297"/>
      <c r="I188" s="297"/>
      <c r="J188" s="297"/>
      <c r="K188" s="297"/>
      <c r="L188" s="298"/>
      <c r="M188" s="7"/>
      <c r="N188" s="228"/>
    </row>
    <row r="189" spans="2:14" hidden="1" x14ac:dyDescent="0.2">
      <c r="B189" s="227"/>
      <c r="C189" s="7"/>
      <c r="D189" s="299"/>
      <c r="E189" s="300"/>
      <c r="F189" s="300"/>
      <c r="G189" s="300"/>
      <c r="H189" s="300"/>
      <c r="I189" s="300"/>
      <c r="J189" s="300"/>
      <c r="K189" s="300"/>
      <c r="L189" s="301"/>
      <c r="M189" s="7"/>
      <c r="N189" s="228"/>
    </row>
    <row r="190" spans="2:14" hidden="1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hidden="1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hidden="1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hidden="1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hidden="1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hidden="1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hidden="1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hidden="1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hidden="1" x14ac:dyDescent="0.2">
      <c r="B198" s="227"/>
      <c r="C198" s="32">
        <v>6</v>
      </c>
      <c r="D198" s="21"/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hidden="1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hidden="1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hidden="1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hidden="1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hidden="1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hidden="1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hidden="1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hidden="1" x14ac:dyDescent="0.2">
      <c r="B206" s="227"/>
      <c r="C206" s="32">
        <v>6</v>
      </c>
      <c r="D206" s="21"/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hidden="1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hidden="1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hidden="1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hidden="1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hidden="1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hidden="1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hidden="1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286"/>
      <c r="M213" s="287"/>
      <c r="N213" s="228"/>
    </row>
    <row r="214" spans="2:17" hidden="1" x14ac:dyDescent="0.2">
      <c r="B214" s="227"/>
      <c r="C214" s="32">
        <v>6</v>
      </c>
      <c r="D214" s="145"/>
      <c r="E214" s="44">
        <f>Data!AA52</f>
        <v>0.75</v>
      </c>
      <c r="F214" s="164"/>
      <c r="G214" s="44">
        <f>Data!AB52</f>
        <v>1</v>
      </c>
      <c r="H214" s="112"/>
      <c r="I214" s="35">
        <f>Data!AC52</f>
        <v>750</v>
      </c>
      <c r="J214" s="105" t="str">
        <f>IF(OR(D214="",F214="",H214=""),"",IF(AND(D214&gt;=0.8*E214,F214&gt;=0.8*G214,H214&gt;=0.8*I214),"PASS","FAIL"))</f>
        <v/>
      </c>
      <c r="K214" s="7"/>
      <c r="L214" s="286"/>
      <c r="M214" s="287"/>
      <c r="N214" s="228"/>
    </row>
    <row r="215" spans="2:17" hidden="1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hidden="1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hidden="1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hidden="1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hidden="1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hidden="1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hidden="1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hidden="1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hidden="1" x14ac:dyDescent="0.2">
      <c r="B223" s="230"/>
      <c r="C223" s="80"/>
      <c r="D223" s="185" t="s">
        <v>282</v>
      </c>
      <c r="E223" s="112"/>
      <c r="F223" s="112"/>
      <c r="G223" s="112"/>
      <c r="H223" s="112"/>
      <c r="I223" s="112"/>
      <c r="J223" s="242">
        <v>0</v>
      </c>
      <c r="K223" s="242">
        <v>1</v>
      </c>
      <c r="L223" s="80"/>
      <c r="M223" s="80"/>
      <c r="N223" s="228"/>
      <c r="O223" s="4"/>
    </row>
    <row r="224" spans="2:17" hidden="1" x14ac:dyDescent="0.2">
      <c r="B224" s="230"/>
      <c r="C224" s="80"/>
      <c r="D224" s="185" t="s">
        <v>283</v>
      </c>
      <c r="E224" s="112"/>
      <c r="F224" s="112"/>
      <c r="G224" s="112"/>
      <c r="H224" s="112"/>
      <c r="I224" s="112"/>
      <c r="J224" s="242">
        <v>0</v>
      </c>
      <c r="K224" s="242">
        <v>1</v>
      </c>
      <c r="L224" s="80"/>
      <c r="M224" s="80"/>
      <c r="N224" s="228"/>
      <c r="O224" s="4"/>
    </row>
    <row r="225" spans="2:15" hidden="1" x14ac:dyDescent="0.2">
      <c r="B225" s="230"/>
      <c r="C225" s="80"/>
      <c r="D225" s="185" t="s">
        <v>230</v>
      </c>
      <c r="E225" s="112"/>
      <c r="F225" s="112"/>
      <c r="G225" s="112"/>
      <c r="H225" s="112"/>
      <c r="I225" s="112"/>
      <c r="J225" s="242">
        <v>15</v>
      </c>
      <c r="K225" s="242">
        <v>1</v>
      </c>
      <c r="L225" s="80"/>
      <c r="M225" s="80"/>
      <c r="N225" s="228"/>
      <c r="O225" s="4"/>
    </row>
    <row r="226" spans="2:15" hidden="1" x14ac:dyDescent="0.2">
      <c r="B226" s="230"/>
      <c r="C226" s="80"/>
      <c r="D226" s="185" t="s">
        <v>231</v>
      </c>
      <c r="E226" s="112"/>
      <c r="F226" s="112"/>
      <c r="G226" s="112"/>
      <c r="H226" s="112"/>
      <c r="I226" s="112"/>
      <c r="J226" s="220" t="s">
        <v>232</v>
      </c>
      <c r="K226" s="220" t="s">
        <v>233</v>
      </c>
      <c r="L226" s="80"/>
      <c r="M226" s="80"/>
      <c r="N226" s="228"/>
      <c r="O226" s="4"/>
    </row>
    <row r="227" spans="2:15" hidden="1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/>
      </c>
      <c r="F227" s="131" t="str">
        <f t="array" ref="F227">IF(OR(F223:F226=""),"",IF(AND(F226="Pass",ABS(F225-$J$225)&lt;=$K$225,ABS(F223)&lt;=$K$223,ABS(F224)&lt;=$K$224),"PASS","FAIL"))</f>
        <v/>
      </c>
      <c r="G227" s="131" t="str">
        <f t="array" ref="G227">IF(OR(G223:G226=""),"",IF(AND(G226="Pass",ABS(G225-$J$225)&lt;=$K$225,ABS(G223)&lt;=$K$223,ABS(G224)&lt;=$K$224),"PASS","FAIL"))</f>
        <v/>
      </c>
      <c r="H227" s="131" t="str">
        <f t="array" ref="H227">IF(OR(H223:H226=""),"",IF(AND(H226="Pass",ABS(H225-$J$225)&lt;=$K$225,ABS(H223)&lt;=$K$223,ABS(H224)&lt;=$K$224),"PASS","FAIL"))</f>
        <v/>
      </c>
      <c r="I227" s="131" t="str">
        <f t="array" ref="I227">IF(OR(I223:I226=""),"",IF(AND(I226="Pass",ABS(I225-$J$225)&lt;=$K$225,ABS(I223)&lt;=$K$223,ABS(I224)&lt;=$K$224),"PASS","FAIL"))</f>
        <v/>
      </c>
      <c r="J227" s="220"/>
      <c r="K227" s="80"/>
      <c r="L227" s="80"/>
      <c r="M227" s="80"/>
      <c r="N227" s="228"/>
      <c r="O227" s="4"/>
    </row>
    <row r="228" spans="2:15" hidden="1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hidden="1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hidden="1" x14ac:dyDescent="0.2">
      <c r="B230" s="230"/>
      <c r="C230" s="80"/>
      <c r="D230" s="244" t="s">
        <v>362</v>
      </c>
      <c r="E230" s="112"/>
      <c r="F230" s="175">
        <v>4.5</v>
      </c>
      <c r="G230" s="174" t="str">
        <f>IF(E230="","",IF(ABS(E230)&lt;=F230,"PASS","FAIL"))</f>
        <v/>
      </c>
      <c r="H230" s="80"/>
      <c r="I230" s="80"/>
      <c r="J230" s="80"/>
      <c r="K230" s="80"/>
      <c r="L230" s="80"/>
      <c r="M230" s="80"/>
      <c r="N230" s="228"/>
      <c r="O230" s="4"/>
    </row>
    <row r="231" spans="2:15" hidden="1" x14ac:dyDescent="0.2">
      <c r="B231" s="230"/>
      <c r="C231" s="80"/>
      <c r="D231" s="244" t="s">
        <v>363</v>
      </c>
      <c r="E231" s="112"/>
      <c r="F231" s="175">
        <v>4.5</v>
      </c>
      <c r="G231" s="174" t="str">
        <f>IF(E231="","",IF(ABS(E231)&lt;=F231,"PASS","FAIL"))</f>
        <v/>
      </c>
      <c r="H231" s="80"/>
      <c r="I231" s="80"/>
      <c r="J231" s="80"/>
      <c r="K231" s="80"/>
      <c r="L231" s="80"/>
      <c r="M231" s="80"/>
      <c r="N231" s="228"/>
      <c r="O231" s="4"/>
    </row>
    <row r="232" spans="2:15" hidden="1" x14ac:dyDescent="0.2">
      <c r="B232" s="230"/>
      <c r="C232" s="80"/>
      <c r="D232" s="244" t="s">
        <v>364</v>
      </c>
      <c r="E232" s="112"/>
      <c r="F232" s="175">
        <v>4.5</v>
      </c>
      <c r="G232" s="174" t="str">
        <f>IF(E232="","",IF(ABS(E232)&lt;=F232,"PASS","FAIL"))</f>
        <v/>
      </c>
      <c r="H232" s="159"/>
      <c r="I232" s="80"/>
      <c r="J232" s="80"/>
      <c r="K232" s="80"/>
      <c r="L232" s="80"/>
      <c r="M232" s="80"/>
      <c r="N232" s="228"/>
      <c r="O232" s="4"/>
    </row>
    <row r="233" spans="2:15" hidden="1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hidden="1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hidden="1" x14ac:dyDescent="0.2">
      <c r="B235" s="230"/>
      <c r="C235" s="80"/>
      <c r="D235" s="244" t="s">
        <v>492</v>
      </c>
      <c r="E235" s="112"/>
      <c r="F235" s="112"/>
      <c r="G235" s="175">
        <v>18</v>
      </c>
      <c r="H235" s="152">
        <v>2</v>
      </c>
      <c r="I235" s="174" t="str">
        <f>IF(OR(E235="",F235=""),"",IF(OR(ABS(E235-G235)&gt;H235,ABS(F235-G235)&gt;H235),"FAIL","PASS"))</f>
        <v/>
      </c>
      <c r="J235" s="267" t="s">
        <v>494</v>
      </c>
      <c r="K235" s="80"/>
      <c r="L235" s="80"/>
      <c r="M235" s="80"/>
      <c r="N235" s="228"/>
      <c r="O235" s="4"/>
    </row>
    <row r="236" spans="2:15" hidden="1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hidden="1" x14ac:dyDescent="0.2">
      <c r="B237" s="230"/>
      <c r="C237" s="118" t="s">
        <v>97</v>
      </c>
      <c r="D237" s="296"/>
      <c r="E237" s="297"/>
      <c r="F237" s="297"/>
      <c r="G237" s="297"/>
      <c r="H237" s="297"/>
      <c r="I237" s="297"/>
      <c r="J237" s="297"/>
      <c r="K237" s="297"/>
      <c r="L237" s="298"/>
      <c r="M237" s="80"/>
      <c r="N237" s="228"/>
      <c r="O237" s="4"/>
    </row>
    <row r="238" spans="2:15" hidden="1" x14ac:dyDescent="0.2">
      <c r="B238" s="230"/>
      <c r="C238" s="118"/>
      <c r="D238" s="299"/>
      <c r="E238" s="300"/>
      <c r="F238" s="300"/>
      <c r="G238" s="300"/>
      <c r="H238" s="300"/>
      <c r="I238" s="300"/>
      <c r="J238" s="300"/>
      <c r="K238" s="300"/>
      <c r="L238" s="301"/>
      <c r="M238" s="80"/>
      <c r="N238" s="228"/>
      <c r="O238" s="4"/>
    </row>
    <row r="239" spans="2:15" hidden="1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05"/>
      <c r="L240" s="305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272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33"/>
      <c r="G251" s="84" t="str">
        <f>IF(F251&lt;&gt;"",F251-F252,"")</f>
        <v/>
      </c>
      <c r="H251" s="33"/>
      <c r="I251" s="84" t="str">
        <f>IF(H251&lt;&gt;"",H251-H252,"")</f>
        <v/>
      </c>
      <c r="J251" s="33"/>
      <c r="K251" s="84" t="str">
        <f>IF(J251&lt;&gt;"",J251-J252,"")</f>
        <v/>
      </c>
      <c r="L251" s="84">
        <v>0.2</v>
      </c>
      <c r="M251" s="105" t="str">
        <f>IF(OR(G251="",I251="",K251=""),"",IF(MAX(ABS(G251),ABS(I251),ABS(K251))&lt;=L251,"PASS","FAIL"))</f>
        <v/>
      </c>
      <c r="N251" s="236"/>
      <c r="O251" s="4"/>
    </row>
    <row r="252" spans="2:15" hidden="1" x14ac:dyDescent="0.2">
      <c r="B252" s="227"/>
      <c r="C252" s="79"/>
      <c r="D252" s="79"/>
      <c r="E252" s="116"/>
      <c r="F252" s="87" t="str">
        <f>IF(H12="","",HLOOKUP(H12,Data!B61:G65,2,FALSE))</f>
        <v/>
      </c>
      <c r="G252" s="79"/>
      <c r="H252" s="87" t="str">
        <f>IF(H12="","",HLOOKUP(H12,Data!B61:G65,3,FALSE))</f>
        <v/>
      </c>
      <c r="I252" s="79"/>
      <c r="J252" s="87" t="str">
        <f>IF(H12="","",HLOOKUP(H12,Data!B61:G65,4,FALSE))</f>
        <v/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33"/>
      <c r="G255" s="33"/>
      <c r="H255" s="33"/>
      <c r="I255" s="84">
        <v>0.2</v>
      </c>
      <c r="J255" s="105" t="str">
        <f>IF(OR(F255="",G255="",H255=""),"",IF(MAX(ABS(F255),ABS(G255),ABS(H255))&lt;=I255,"PASS","FAIL"))</f>
        <v/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33"/>
      <c r="G259" s="33"/>
      <c r="H259" s="33"/>
      <c r="I259" s="84">
        <v>0.2</v>
      </c>
      <c r="J259" s="105" t="str">
        <f>IF(OR(F259="",G259="",H259=""),"",IF(MAX(ABS(F259),ABS(G259),ABS(H259))&lt;=I259,"PASS","FAIL"))</f>
        <v/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33"/>
      <c r="G263" s="33"/>
      <c r="H263" s="33"/>
      <c r="I263" s="84">
        <v>0.2</v>
      </c>
      <c r="J263" s="105" t="str">
        <f>IF(OR(F263="",G263="",H263=""),"",IF(MAX(ABS(F263),ABS(G263),ABS(H263))&lt;=I263,"PASS","FAIL"))</f>
        <v/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33"/>
      <c r="G267" s="33"/>
      <c r="H267" s="119" t="s">
        <v>166</v>
      </c>
      <c r="I267" s="84">
        <v>0.2</v>
      </c>
      <c r="J267" s="105" t="str">
        <f>IF(OR(F267="",G267=""),"",IF(MAX(ABS(F267),ABS(G267))&lt;=I267,"PASS","FAIL"))</f>
        <v/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33"/>
      <c r="H271" s="33"/>
      <c r="I271" s="84">
        <v>0.2</v>
      </c>
      <c r="J271" s="105" t="str">
        <f>IF(OR(G271="",H271=""),"",IF(MAX(ABS(G271),ABS(H271))&lt;=I271,"PASS","FAIL"))</f>
        <v/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05"/>
      <c r="L273" s="305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hidden="1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hidden="1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hidden="1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hidden="1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hidden="1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hidden="1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hidden="1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hidden="1" x14ac:dyDescent="0.2">
      <c r="B282" s="227"/>
      <c r="C282" s="80"/>
      <c r="D282" s="120" t="s">
        <v>198</v>
      </c>
      <c r="E282" s="33"/>
      <c r="F282" s="50">
        <v>1.6</v>
      </c>
      <c r="G282" s="50">
        <v>0.2</v>
      </c>
      <c r="H282" s="105" t="str">
        <f>IF(E282="","",IF(ABS(E282-F282)&lt;=G282,"PASS","FAIL"))</f>
        <v/>
      </c>
      <c r="I282" s="79"/>
      <c r="J282" s="79"/>
      <c r="K282" s="79"/>
      <c r="L282" s="79"/>
      <c r="M282" s="79"/>
      <c r="N282" s="235"/>
    </row>
    <row r="283" spans="2:16" hidden="1" x14ac:dyDescent="0.2">
      <c r="B283" s="227"/>
      <c r="C283" s="80"/>
      <c r="D283" s="120" t="s">
        <v>197</v>
      </c>
      <c r="E283" s="33"/>
      <c r="F283" s="50">
        <v>0.8</v>
      </c>
      <c r="G283" s="50">
        <v>0.2</v>
      </c>
      <c r="H283" s="105" t="str">
        <f>IF(E283="","",IF(ABS(E283-F283)&lt;=G283,"PASS","FAIL"))</f>
        <v/>
      </c>
      <c r="I283" s="79"/>
      <c r="J283" s="79"/>
      <c r="K283" s="79"/>
      <c r="L283" s="79"/>
      <c r="M283" s="79"/>
      <c r="N283" s="235"/>
    </row>
    <row r="284" spans="2:16" hidden="1" x14ac:dyDescent="0.2">
      <c r="B284" s="227"/>
      <c r="C284" s="80"/>
      <c r="D284" s="120" t="s">
        <v>199</v>
      </c>
      <c r="E284" s="33"/>
      <c r="F284" s="50">
        <v>5.0999999999999996</v>
      </c>
      <c r="G284" s="50">
        <v>0.2</v>
      </c>
      <c r="H284" s="105" t="str">
        <f>IF(E284="","",IF(ABS(E284-F284)&lt;=G284,"PASS","FAIL"))</f>
        <v/>
      </c>
      <c r="I284" s="15" t="s">
        <v>367</v>
      </c>
      <c r="J284" s="79"/>
      <c r="K284" s="79"/>
      <c r="L284" s="79"/>
      <c r="M284" s="79"/>
      <c r="N284" s="235"/>
    </row>
    <row r="285" spans="2:16" hidden="1" x14ac:dyDescent="0.2">
      <c r="B285" s="227"/>
      <c r="C285" s="80"/>
      <c r="D285" s="120" t="s">
        <v>202</v>
      </c>
      <c r="E285" s="33"/>
      <c r="F285" s="50">
        <v>0.17</v>
      </c>
      <c r="G285" s="50">
        <v>0.02</v>
      </c>
      <c r="H285" s="105" t="str">
        <f>IF(E285="","",IF(ABS(E285-F285)&lt;=G285,"PASS","FAIL"))</f>
        <v/>
      </c>
      <c r="I285" s="79"/>
      <c r="J285" s="79"/>
      <c r="K285" s="79"/>
      <c r="L285" s="79"/>
      <c r="M285" s="79"/>
      <c r="N285" s="235"/>
    </row>
    <row r="286" spans="2:16" hidden="1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hidden="1" x14ac:dyDescent="0.2">
      <c r="B287" s="227"/>
      <c r="C287" s="79"/>
      <c r="D287" s="16" t="s">
        <v>200</v>
      </c>
      <c r="E287" s="33"/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hidden="1" x14ac:dyDescent="0.2">
      <c r="B288" s="227"/>
      <c r="C288" s="79"/>
      <c r="D288" s="16" t="s">
        <v>201</v>
      </c>
      <c r="E288" s="33"/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hidden="1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hidden="1" x14ac:dyDescent="0.2">
      <c r="B290" s="227"/>
      <c r="C290" s="79"/>
      <c r="D290" s="16" t="s">
        <v>97</v>
      </c>
      <c r="E290" s="302"/>
      <c r="F290" s="309"/>
      <c r="G290" s="309"/>
      <c r="H290" s="309"/>
      <c r="I290" s="309"/>
      <c r="J290" s="309"/>
      <c r="K290" s="309"/>
      <c r="L290" s="309"/>
      <c r="M290" s="310"/>
      <c r="N290" s="247"/>
      <c r="O290" s="4"/>
    </row>
    <row r="291" spans="2:16" hidden="1" x14ac:dyDescent="0.2">
      <c r="B291" s="227"/>
      <c r="C291" s="79"/>
      <c r="D291" s="79"/>
      <c r="E291" s="302"/>
      <c r="F291" s="303"/>
      <c r="G291" s="303"/>
      <c r="H291" s="303"/>
      <c r="I291" s="303"/>
      <c r="J291" s="303"/>
      <c r="K291" s="303"/>
      <c r="L291" s="303"/>
      <c r="M291" s="304"/>
      <c r="N291" s="228"/>
      <c r="O291" s="4"/>
    </row>
    <row r="292" spans="2:16" hidden="1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05"/>
      <c r="L293" s="305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hidden="1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hidden="1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hidden="1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hidden="1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hidden="1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hidden="1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hidden="1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hidden="1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hidden="1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hidden="1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hidden="1" x14ac:dyDescent="0.2">
      <c r="B305" s="227"/>
      <c r="C305" s="171" t="s">
        <v>425</v>
      </c>
      <c r="D305" s="59"/>
      <c r="E305" s="59"/>
      <c r="F305" s="59"/>
      <c r="G305" s="59"/>
      <c r="H305" s="33"/>
      <c r="I305" s="21"/>
      <c r="J305" s="105" t="str">
        <f t="array" ref="J305">IF(OR(D305:I305=""),"",IF(AND(ABS(D305-D306)&lt;=0.2,ABS(E305-E306)&lt;=0.2,ABS(F305-F306)&lt;=0.2,ABS(G305-G306)&lt;=0.2,H305="PASS",I305="No"),"PASS","FAIL"))</f>
        <v/>
      </c>
      <c r="K305" s="107"/>
      <c r="L305" s="286"/>
      <c r="M305" s="287"/>
      <c r="N305" s="236"/>
      <c r="O305" s="4"/>
      <c r="P305" s="96"/>
    </row>
    <row r="306" spans="2:16" hidden="1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hidden="1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hidden="1" x14ac:dyDescent="0.2">
      <c r="B308" s="227"/>
      <c r="C308" s="79" t="s">
        <v>508</v>
      </c>
      <c r="D308" s="7"/>
      <c r="E308" s="7"/>
      <c r="F308" s="306"/>
      <c r="G308" s="307"/>
      <c r="H308" s="307"/>
      <c r="I308" s="307"/>
      <c r="J308" s="307"/>
      <c r="K308" s="307"/>
      <c r="L308" s="308"/>
      <c r="M308" s="7"/>
      <c r="N308" s="228"/>
      <c r="O308" s="4"/>
      <c r="P308" s="96"/>
    </row>
    <row r="309" spans="2:16" hidden="1" x14ac:dyDescent="0.2">
      <c r="B309" s="230"/>
      <c r="C309" s="7"/>
      <c r="D309" s="7"/>
      <c r="E309" s="7"/>
      <c r="F309" s="290"/>
      <c r="G309" s="291"/>
      <c r="H309" s="291"/>
      <c r="I309" s="291"/>
      <c r="J309" s="291"/>
      <c r="K309" s="291"/>
      <c r="L309" s="292"/>
      <c r="M309" s="7"/>
      <c r="N309" s="228"/>
      <c r="O309" s="4"/>
      <c r="P309" s="96"/>
    </row>
    <row r="310" spans="2:16" hidden="1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hidden="1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hidden="1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hidden="1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hidden="1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hidden="1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hidden="1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hidden="1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hidden="1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hidden="1" x14ac:dyDescent="0.2">
      <c r="B319" s="227"/>
      <c r="C319" s="172" t="s">
        <v>425</v>
      </c>
      <c r="D319" s="43" t="s">
        <v>165</v>
      </c>
      <c r="E319" s="59"/>
      <c r="F319" s="59"/>
      <c r="G319" s="59"/>
      <c r="H319" s="59"/>
      <c r="I319" s="35">
        <v>5</v>
      </c>
      <c r="J319" s="36" t="str">
        <f>IF(OR(C319="",E319="",F319="",G319="",H319=""),"",IF(AND(ABS(E319)&lt;=I319,ABS(F319)&lt;=I319,ABS(G319)&lt;=I319,ABS(H319)&lt;=I319),"PASS","FAIL"))</f>
        <v/>
      </c>
      <c r="K319" s="90" t="s">
        <v>170</v>
      </c>
      <c r="L319" s="80"/>
      <c r="M319" s="7"/>
      <c r="N319" s="228"/>
      <c r="O319" s="4"/>
    </row>
    <row r="320" spans="2:16" hidden="1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hidden="1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hidden="1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hidden="1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286"/>
      <c r="M323" s="287"/>
      <c r="N323" s="228"/>
      <c r="O323" s="4"/>
      <c r="Q323" s="272"/>
    </row>
    <row r="324" spans="2:17" hidden="1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286"/>
      <c r="M324" s="287"/>
      <c r="N324" s="228"/>
      <c r="O324" s="4"/>
      <c r="Q324" s="272"/>
    </row>
    <row r="325" spans="2:17" hidden="1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hidden="1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hidden="1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hidden="1" x14ac:dyDescent="0.2">
      <c r="B328" s="227"/>
      <c r="C328" s="173" t="s">
        <v>425</v>
      </c>
      <c r="D328" s="127" t="s">
        <v>499</v>
      </c>
      <c r="E328" s="127" t="s">
        <v>349</v>
      </c>
      <c r="F328" s="164"/>
      <c r="G328" s="165">
        <f>Data!AA53</f>
        <v>1.8</v>
      </c>
      <c r="H328" s="164"/>
      <c r="I328" s="165">
        <f>Data!AB53</f>
        <v>2.6</v>
      </c>
      <c r="J328" s="112"/>
      <c r="K328" s="127">
        <f>Data!AC53</f>
        <v>20</v>
      </c>
      <c r="L328" s="132" t="str">
        <f>IF(OR(F328="",H328="",J328=""),"",IF(AND(F328&gt;=0.8*G328,H328&gt;=0.8*I328,J328&gt;=0.8*K328),"PASS","FAIL"))</f>
        <v/>
      </c>
      <c r="M328" s="270"/>
      <c r="N328" s="250"/>
      <c r="Q328" s="272"/>
    </row>
    <row r="329" spans="2:17" hidden="1" x14ac:dyDescent="0.2">
      <c r="B329" s="227"/>
      <c r="C329" s="173" t="s">
        <v>368</v>
      </c>
      <c r="D329" s="127" t="s">
        <v>228</v>
      </c>
      <c r="E329" s="127" t="s">
        <v>355</v>
      </c>
      <c r="F329" s="164"/>
      <c r="G329" s="165">
        <v>1.8</v>
      </c>
      <c r="H329" s="164"/>
      <c r="I329" s="165">
        <v>2.7</v>
      </c>
      <c r="J329" s="112"/>
      <c r="K329" s="127">
        <v>13</v>
      </c>
      <c r="L329" s="132" t="str">
        <f>IF(OR(F329="",H329="",J329=""),"",IF(AND(F329&gt;=0.8*G329,H329&gt;=0.8*I329,J329&gt;=0.8*K329),"PASS","FAIL"))</f>
        <v/>
      </c>
      <c r="M329" s="270"/>
      <c r="N329" s="250"/>
      <c r="O329" s="4"/>
      <c r="P329" s="271"/>
      <c r="Q329" s="272"/>
    </row>
    <row r="330" spans="2:17" hidden="1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hidden="1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hidden="1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hidden="1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hidden="1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hidden="1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hidden="1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hidden="1" x14ac:dyDescent="0.2">
      <c r="B337" s="227"/>
      <c r="C337" s="171" t="s">
        <v>426</v>
      </c>
      <c r="D337" s="112"/>
      <c r="E337" s="127">
        <v>75</v>
      </c>
      <c r="F337" s="127">
        <v>5</v>
      </c>
      <c r="G337" s="112"/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/>
      </c>
      <c r="K337" s="79"/>
      <c r="L337" s="107"/>
      <c r="M337" s="107"/>
      <c r="N337" s="236"/>
      <c r="O337" s="4"/>
    </row>
    <row r="338" spans="2:16" hidden="1" x14ac:dyDescent="0.2">
      <c r="B338" s="227"/>
      <c r="C338" s="171" t="s">
        <v>427</v>
      </c>
      <c r="D338" s="112"/>
      <c r="E338" s="127">
        <v>125</v>
      </c>
      <c r="F338" s="127">
        <v>5</v>
      </c>
      <c r="G338" s="112"/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/>
      </c>
      <c r="K338" s="79"/>
      <c r="L338" s="90"/>
      <c r="M338" s="107"/>
      <c r="N338" s="236"/>
      <c r="O338" s="4"/>
    </row>
    <row r="339" spans="2:16" hidden="1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05"/>
      <c r="L340" s="305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hidden="1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hidden="1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hidden="1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hidden="1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hidden="1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hidden="1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hidden="1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hidden="1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hidden="1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hidden="1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21"/>
      <c r="H351" s="130"/>
      <c r="I351" s="293"/>
      <c r="J351" s="294"/>
      <c r="K351" s="294"/>
      <c r="L351" s="294"/>
      <c r="M351" s="295"/>
      <c r="N351" s="228"/>
      <c r="O351" s="4"/>
    </row>
    <row r="352" spans="2:16" hidden="1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hidden="1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hidden="1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hidden="1" x14ac:dyDescent="0.2">
      <c r="B355" s="253"/>
      <c r="C355" s="16"/>
      <c r="D355" s="146" t="s">
        <v>343</v>
      </c>
      <c r="E355" s="147"/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/>
      </c>
      <c r="M355" s="79"/>
      <c r="N355" s="235"/>
    </row>
    <row r="356" spans="2:16" hidden="1" x14ac:dyDescent="0.2">
      <c r="B356" s="253"/>
      <c r="C356" s="79"/>
      <c r="D356" s="146" t="s">
        <v>337</v>
      </c>
      <c r="E356" s="147"/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/>
      </c>
      <c r="M356" s="79"/>
      <c r="N356" s="235"/>
    </row>
    <row r="357" spans="2:16" hidden="1" x14ac:dyDescent="0.2">
      <c r="B357" s="253"/>
      <c r="C357" s="79"/>
      <c r="D357" s="146" t="s">
        <v>338</v>
      </c>
      <c r="E357" s="147"/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/>
      </c>
      <c r="M357" s="79"/>
      <c r="N357" s="235"/>
    </row>
    <row r="358" spans="2:16" hidden="1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hidden="1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hidden="1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hidden="1" x14ac:dyDescent="0.2">
      <c r="B361" s="253"/>
      <c r="C361" s="16"/>
      <c r="D361" s="146" t="s">
        <v>290</v>
      </c>
      <c r="E361" s="153"/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/>
      </c>
      <c r="M361" s="79"/>
      <c r="N361" s="235"/>
      <c r="P361" s="96"/>
    </row>
    <row r="362" spans="2:16" hidden="1" x14ac:dyDescent="0.2">
      <c r="B362" s="253"/>
      <c r="C362" s="79"/>
      <c r="D362" s="146" t="s">
        <v>291</v>
      </c>
      <c r="E362" s="153"/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/>
      </c>
      <c r="M362" s="79"/>
      <c r="N362" s="235"/>
      <c r="P362" s="96"/>
    </row>
    <row r="363" spans="2:16" hidden="1" x14ac:dyDescent="0.2">
      <c r="B363" s="253"/>
      <c r="C363" s="79"/>
      <c r="D363" s="146" t="s">
        <v>292</v>
      </c>
      <c r="E363" s="153"/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/>
      </c>
      <c r="M363" s="79"/>
      <c r="N363" s="235"/>
    </row>
    <row r="364" spans="2:16" hidden="1" x14ac:dyDescent="0.2">
      <c r="B364" s="253"/>
      <c r="C364" s="79"/>
      <c r="D364" s="146" t="s">
        <v>293</v>
      </c>
      <c r="E364" s="153"/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/>
      </c>
      <c r="M364" s="79"/>
      <c r="N364" s="235"/>
    </row>
    <row r="365" spans="2:16" hidden="1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hidden="1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hidden="1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hidden="1" x14ac:dyDescent="0.2">
      <c r="B368" s="253"/>
      <c r="C368" s="16"/>
      <c r="D368" s="146"/>
      <c r="E368" s="147"/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/>
      </c>
      <c r="M368" s="79"/>
      <c r="N368" s="235"/>
    </row>
    <row r="369" spans="2:14" hidden="1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hidden="1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hidden="1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hidden="1" x14ac:dyDescent="0.2">
      <c r="B372" s="253"/>
      <c r="C372" s="16"/>
      <c r="D372" s="146" t="s">
        <v>297</v>
      </c>
      <c r="E372" s="153"/>
      <c r="F372" s="153"/>
      <c r="G372" s="152" t="str">
        <f>IF(OR(E372="",F372=""),"",F372-E372)</f>
        <v/>
      </c>
      <c r="H372" s="152">
        <v>10</v>
      </c>
      <c r="I372" s="123"/>
      <c r="J372" s="79"/>
      <c r="K372" s="79"/>
      <c r="L372" s="105" t="str">
        <f>IF(G372="","",IF(ABS(G372)&lt;=H372,"PASS","FAIL"))</f>
        <v/>
      </c>
      <c r="M372" s="79"/>
      <c r="N372" s="235"/>
    </row>
    <row r="373" spans="2:14" hidden="1" x14ac:dyDescent="0.2">
      <c r="B373" s="253"/>
      <c r="C373" s="79"/>
      <c r="D373" s="16" t="s">
        <v>298</v>
      </c>
      <c r="E373" s="112"/>
      <c r="F373" s="153"/>
      <c r="G373" s="152" t="str">
        <f>IF(OR(E373="",F373=""),"",F373-E373)</f>
        <v/>
      </c>
      <c r="H373" s="152">
        <v>10</v>
      </c>
      <c r="I373" s="123"/>
      <c r="J373" s="79"/>
      <c r="K373" s="79"/>
      <c r="L373" s="105" t="str">
        <f>IF(G373="","",IF(ABS(G373)&lt;=H373,"PASS","FAIL"))</f>
        <v/>
      </c>
      <c r="M373" s="79"/>
      <c r="N373" s="235"/>
    </row>
    <row r="374" spans="2:14" hidden="1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hidden="1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hidden="1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hidden="1" x14ac:dyDescent="0.2">
      <c r="B377" s="253"/>
      <c r="C377" s="16"/>
      <c r="D377" s="146" t="s">
        <v>339</v>
      </c>
      <c r="E377" s="152" t="str">
        <f>IF(OR(E361="",E363=""),"",E361-E363)</f>
        <v/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/>
      </c>
      <c r="M377" s="79"/>
      <c r="N377" s="235"/>
    </row>
    <row r="378" spans="2:14" hidden="1" x14ac:dyDescent="0.2">
      <c r="B378" s="253"/>
      <c r="C378" s="79"/>
      <c r="D378" s="16" t="s">
        <v>341</v>
      </c>
      <c r="E378" s="152" t="str">
        <f>IF(OR(E373="",F373=""),"",AVERAGE(E373:F374))</f>
        <v/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/>
      </c>
      <c r="M378" s="79"/>
      <c r="N378" s="235"/>
    </row>
    <row r="379" spans="2:14" hidden="1" x14ac:dyDescent="0.2">
      <c r="B379" s="253"/>
      <c r="C379" s="79"/>
      <c r="D379" s="16" t="s">
        <v>274</v>
      </c>
      <c r="E379" s="152" t="str">
        <f>IF(OR(E377="",E378=""),"",E377/E378)</f>
        <v/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/>
      </c>
      <c r="M379" s="79"/>
      <c r="N379" s="235"/>
    </row>
    <row r="380" spans="2:14" ht="13.5" hidden="1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288" t="s">
        <v>299</v>
      </c>
      <c r="G381" s="289"/>
      <c r="H381" s="289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289"/>
      <c r="G382" s="289"/>
      <c r="H382" s="289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customSheetViews>
    <customSheetView guid="{FA2D1B4E-F89E-4C35-9D43-0653EC39ACA4}" showPageBreaks="1" printArea="1">
      <selection activeCell="D32" sqref="D32"/>
      <rowBreaks count="4" manualBreakCount="4">
        <brk id="86" min="1" max="12" man="1"/>
        <brk id="167" min="1" max="12" man="1"/>
        <brk id="263" min="1" max="12" man="1"/>
        <brk id="342" min="1" max="12" man="1"/>
      </rowBreaks>
      <pageMargins left="0.19685039370078741" right="0.19685039370078741" top="0.19685039370078741" bottom="0.19685039370078741" header="0.19685039370078741" footer="0.19685039370078741"/>
      <printOptions horizontalCentered="1"/>
      <pageSetup scale="59" orientation="portrait" r:id="rId1"/>
      <headerFooter alignWithMargins="0">
        <oddFooter>&amp;RPage &amp;P of &amp;N</oddFooter>
      </headerFooter>
    </customSheetView>
  </customSheetViews>
  <mergeCells count="31">
    <mergeCell ref="D237:L238"/>
    <mergeCell ref="J27:M27"/>
    <mergeCell ref="J28:M28"/>
    <mergeCell ref="J29:M29"/>
    <mergeCell ref="H12:J12"/>
    <mergeCell ref="D188:L189"/>
    <mergeCell ref="C17:M19"/>
    <mergeCell ref="K24:L24"/>
    <mergeCell ref="K33:L33"/>
    <mergeCell ref="K103:L103"/>
    <mergeCell ref="K122:L122"/>
    <mergeCell ref="F15:G15"/>
    <mergeCell ref="F21:G21"/>
    <mergeCell ref="J31:M31"/>
    <mergeCell ref="J30:M30"/>
    <mergeCell ref="L324:M324"/>
    <mergeCell ref="F381:H382"/>
    <mergeCell ref="F309:L309"/>
    <mergeCell ref="I351:M351"/>
    <mergeCell ref="F173:L174"/>
    <mergeCell ref="E291:M291"/>
    <mergeCell ref="L305:M305"/>
    <mergeCell ref="K340:L340"/>
    <mergeCell ref="K240:L240"/>
    <mergeCell ref="K273:L273"/>
    <mergeCell ref="L323:M323"/>
    <mergeCell ref="L213:M213"/>
    <mergeCell ref="L214:M214"/>
    <mergeCell ref="F308:L308"/>
    <mergeCell ref="E290:M290"/>
    <mergeCell ref="K293:L293"/>
  </mergeCells>
  <phoneticPr fontId="2" type="noConversion"/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G107 D107 G105 D105 K98:K100 D98:E99 E98:E100 G98:G100 E116:G120 F62:G66 G37 D37 G35 D35 F85:G88 E77 E55:F57 F21 L12:M12 C17:M19 F72:G72 I98:I100 E223:I226 E47:G50 C328:K329 J27:M31">
    <cfRule type="cellIs" dxfId="39" priority="209" stopIfTrue="1" operator="equal">
      <formula>""</formula>
    </cfRule>
  </conditionalFormatting>
  <conditionalFormatting sqref="H12:J12">
    <cfRule type="cellIs" dxfId="38" priority="210" stopIfTrue="1" operator="equal">
      <formula>$Q$6</formula>
    </cfRule>
  </conditionalFormatting>
  <conditionalFormatting sqref="M21">
    <cfRule type="cellIs" dxfId="37" priority="208" stopIfTrue="1" operator="equal">
      <formula>$Q$6</formula>
    </cfRule>
  </conditionalFormatting>
  <conditionalFormatting sqref="F308:F309 F173:L174">
    <cfRule type="cellIs" dxfId="36" priority="198" stopIfTrue="1" operator="equal">
      <formula>$Q$6</formula>
    </cfRule>
  </conditionalFormatting>
  <conditionalFormatting sqref="D237:L238 D188:L189">
    <cfRule type="cellIs" dxfId="35" priority="197" stopIfTrue="1" operator="equal">
      <formula>$Q$6</formula>
    </cfRule>
  </conditionalFormatting>
  <conditionalFormatting sqref="E227:I227 J305:K305 N305">
    <cfRule type="cellIs" dxfId="34" priority="90" stopIfTrue="1" operator="equal">
      <formula>$Q$8</formula>
    </cfRule>
  </conditionalFormatting>
  <conditionalFormatting sqref="I351:M351">
    <cfRule type="cellIs" dxfId="33" priority="80" stopIfTrue="1" operator="equal">
      <formula>$Q$6</formula>
    </cfRule>
  </conditionalFormatting>
  <conditionalFormatting sqref="J214">
    <cfRule type="cellIs" dxfId="32" priority="73" stopIfTrue="1" operator="equal">
      <formula>$Q$8</formula>
    </cfRule>
  </conditionalFormatting>
  <conditionalFormatting sqref="G351 L355:L365 L368:L380 H282:H285 E287:E288 J319 J337:J338 M251:N251 J255 J259 J263 J267 J271 E77 M47:N50 M62:N66 M72:N72 M85:N88 L98:L100 L55:L57 M116:N120 G230:G235 J305:K305 L328:N329 N305">
    <cfRule type="cellIs" dxfId="31" priority="67" stopIfTrue="1" operator="equal">
      <formula>"FAIL"</formula>
    </cfRule>
  </conditionalFormatting>
  <conditionalFormatting sqref="H27:H31">
    <cfRule type="cellIs" dxfId="30" priority="40" stopIfTrue="1" operator="equal">
      <formula>"NOT REVIEWED"</formula>
    </cfRule>
  </conditionalFormatting>
  <conditionalFormatting sqref="M47:N50 M62:N66 M72:N72 M85:N88 L98:L100 L55:L57 M116:N120">
    <cfRule type="cellIs" dxfId="29" priority="38" stopIfTrue="1" operator="equal">
      <formula>"MARGINAL"</formula>
    </cfRule>
  </conditionalFormatting>
  <conditionalFormatting sqref="K170">
    <cfRule type="cellIs" dxfId="28" priority="29" stopIfTrue="1" operator="equal">
      <formula>"FAIL"</formula>
    </cfRule>
  </conditionalFormatting>
  <conditionalFormatting sqref="J131:J137 J145:J147 L161 L186 F186 I186:J186 D198 D206 J214 E227:I227 G230:G235">
    <cfRule type="cellIs" dxfId="27" priority="28" stopIfTrue="1" operator="equal">
      <formula>"FAIL"</formula>
    </cfRule>
  </conditionalFormatting>
  <conditionalFormatting sqref="E226:I226">
    <cfRule type="cellIs" dxfId="26" priority="27" stopIfTrue="1" operator="equal">
      <formula>"FAIL"</formula>
    </cfRule>
  </conditionalFormatting>
  <conditionalFormatting sqref="K101 E101 G101 I101">
    <cfRule type="cellIs" dxfId="25" priority="26" stopIfTrue="1" operator="equal">
      <formula>""</formula>
    </cfRule>
  </conditionalFormatting>
  <conditionalFormatting sqref="L101">
    <cfRule type="cellIs" dxfId="24" priority="23" stopIfTrue="1" operator="equal">
      <formula>"FAIL"</formula>
    </cfRule>
  </conditionalFormatting>
  <conditionalFormatting sqref="L101">
    <cfRule type="cellIs" dxfId="23" priority="22" stopIfTrue="1" operator="equal">
      <formula>"MARGINAL"</formula>
    </cfRule>
  </conditionalFormatting>
  <conditionalFormatting sqref="L213:M214">
    <cfRule type="cellIs" dxfId="22" priority="21" stopIfTrue="1" operator="equal">
      <formula>$Q$6</formula>
    </cfRule>
  </conditionalFormatting>
  <conditionalFormatting sqref="L323:M324">
    <cfRule type="cellIs" dxfId="21" priority="20" stopIfTrue="1" operator="equal">
      <formula>$Q$6</formula>
    </cfRule>
  </conditionalFormatting>
  <conditionalFormatting sqref="K24:L24">
    <cfRule type="cellIs" dxfId="20" priority="19" stopIfTrue="1" operator="notEqual">
      <formula>""</formula>
    </cfRule>
  </conditionalFormatting>
  <conditionalFormatting sqref="K33:L33">
    <cfRule type="cellIs" dxfId="19" priority="18" stopIfTrue="1" operator="notEqual">
      <formula>""</formula>
    </cfRule>
  </conditionalFormatting>
  <conditionalFormatting sqref="K103:L103">
    <cfRule type="cellIs" dxfId="18" priority="17" stopIfTrue="1" operator="notEqual">
      <formula>""</formula>
    </cfRule>
  </conditionalFormatting>
  <conditionalFormatting sqref="K122:L122">
    <cfRule type="cellIs" dxfId="17" priority="16" stopIfTrue="1" operator="notEqual">
      <formula>""</formula>
    </cfRule>
  </conditionalFormatting>
  <conditionalFormatting sqref="K240:L240">
    <cfRule type="cellIs" dxfId="16" priority="15" stopIfTrue="1" operator="notEqual">
      <formula>""</formula>
    </cfRule>
  </conditionalFormatting>
  <conditionalFormatting sqref="K273:L273">
    <cfRule type="cellIs" dxfId="15" priority="14" stopIfTrue="1" operator="notEqual">
      <formula>""</formula>
    </cfRule>
  </conditionalFormatting>
  <conditionalFormatting sqref="K293:L293">
    <cfRule type="cellIs" dxfId="14" priority="13" stopIfTrue="1" operator="notEqual">
      <formula>""</formula>
    </cfRule>
  </conditionalFormatting>
  <conditionalFormatting sqref="K340:L340">
    <cfRule type="cellIs" dxfId="13" priority="12" stopIfTrue="1" operator="notEqual">
      <formula>""</formula>
    </cfRule>
  </conditionalFormatting>
  <conditionalFormatting sqref="F15 M15 H27:H31">
    <cfRule type="cellIs" dxfId="12" priority="11" stopIfTrue="1" operator="equal">
      <formula>""</formula>
    </cfRule>
  </conditionalFormatting>
  <conditionalFormatting sqref="G98:G100">
    <cfRule type="cellIs" dxfId="11" priority="10" stopIfTrue="1" operator="equal">
      <formula>""</formula>
    </cfRule>
  </conditionalFormatting>
  <conditionalFormatting sqref="G351 D206 J186 D198">
    <cfRule type="cellIs" dxfId="10" priority="215" stopIfTrue="1" operator="equal">
      <formula>$Q$6</formula>
    </cfRule>
    <cfRule type="cellIs" dxfId="9" priority="216" stopIfTrue="1" operator="equal">
      <formula>$Q$8</formula>
    </cfRule>
  </conditionalFormatting>
  <conditionalFormatting sqref="E235:F235">
    <cfRule type="cellIs" dxfId="8" priority="9" stopIfTrue="1" operator="equal">
      <formula>""</formula>
    </cfRule>
  </conditionalFormatting>
  <conditionalFormatting sqref="I235">
    <cfRule type="cellIs" dxfId="7" priority="8" stopIfTrue="1" operator="equal">
      <formula>"FAIL"</formula>
    </cfRule>
  </conditionalFormatting>
  <conditionalFormatting sqref="I235">
    <cfRule type="cellIs" dxfId="6" priority="7" stopIfTrue="1" operator="equal">
      <formula>"FAIL"</formula>
    </cfRule>
  </conditionalFormatting>
  <conditionalFormatting sqref="L305:M305">
    <cfRule type="cellIs" dxfId="5" priority="6" stopIfTrue="1" operator="equal">
      <formula>$Q$6</formula>
    </cfRule>
  </conditionalFormatting>
  <conditionalFormatting sqref="J15">
    <cfRule type="cellIs" dxfId="4" priority="4" stopIfTrue="1" operator="equal">
      <formula>$Q$8</formula>
    </cfRule>
    <cfRule type="cellIs" dxfId="3" priority="5" stopIfTrue="1" operator="equal">
      <formula>$Q$6</formula>
    </cfRule>
  </conditionalFormatting>
  <conditionalFormatting sqref="J15">
    <cfRule type="cellIs" dxfId="2" priority="3" stopIfTrue="1" operator="equal">
      <formula>""</formula>
    </cfRule>
  </conditionalFormatting>
  <conditionalFormatting sqref="F15:G15">
    <cfRule type="cellIs" dxfId="1" priority="1" stopIfTrue="1" operator="equal">
      <formula>"CONDITIONAL PASS"</formula>
    </cfRule>
    <cfRule type="cellIs" dxfId="0" priority="2" stopIfTrue="1" operator="equal">
      <formula>"FAIL"</formula>
    </cfRule>
  </conditionalFormatting>
  <dataValidations count="13">
    <dataValidation type="list" allowBlank="1" showInputMessage="1" showErrorMessage="1" sqref="H305 E77 G351 D198 D206 E226:I226 J186 E287:E288">
      <formula1>List_Status3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G107 G37">
      <formula1>List_Electrometers</formula1>
    </dataValidation>
    <dataValidation type="list" allowBlank="1" showInputMessage="1" showErrorMessage="1" sqref="D107">
      <formula1>List_Markus_Probes</formula1>
    </dataValidation>
    <dataValidation type="list" allowBlank="1" showInputMessage="1" showErrorMessage="1" sqref="D37">
      <formula1>List_Farmer_Probes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K33:L33 K103:L103 K122:L122 K240:L240 K273:L273 K293:L293 K340:L340">
      <formula1>List_Student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F15:G15">
      <formula1>List_Status1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2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3"/>
  <legacyDrawing r:id="rId4"/>
  <controls>
    <mc:AlternateContent xmlns:mc="http://schemas.openxmlformats.org/markup-compatibility/2006">
      <mc:Choice Requires="x14">
        <control shapeId="14894" r:id="rId5" name="lbl_CBCT">
          <controlPr defaultSize="0" autoFill="0" autoLine="0" r:id="rId6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14894" r:id="rId5" name="lbl_CBCT"/>
      </mc:Fallback>
    </mc:AlternateContent>
    <mc:AlternateContent xmlns:mc="http://schemas.openxmlformats.org/markup-compatibility/2006">
      <mc:Choice Requires="x14">
        <control shapeId="14893" r:id="rId7" name="lbl_KV_Planar">
          <controlPr defaultSize="0" autoFill="0" autoLine="0" r:id="rId6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14893" r:id="rId7" name="lbl_KV_Planar"/>
      </mc:Fallback>
    </mc:AlternateContent>
    <mc:AlternateContent xmlns:mc="http://schemas.openxmlformats.org/markup-compatibility/2006">
      <mc:Choice Requires="x14">
        <control shapeId="14832" r:id="rId8" name="lbl_Motion_Management">
          <controlPr defaultSize="0" autoFill="0" autoLine="0" r:id="rId6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14832" r:id="rId8" name="lbl_Motion_Management"/>
      </mc:Fallback>
    </mc:AlternateContent>
    <mc:AlternateContent xmlns:mc="http://schemas.openxmlformats.org/markup-compatibility/2006">
      <mc:Choice Requires="x14">
        <control shapeId="14811" r:id="rId9" name="lbl_Registration">
          <controlPr defaultSize="0" autoFill="0" autoLine="0" r:id="rId6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14811" r:id="rId9" name="lbl_Registration"/>
      </mc:Fallback>
    </mc:AlternateContent>
    <mc:AlternateContent xmlns:mc="http://schemas.openxmlformats.org/markup-compatibility/2006">
      <mc:Choice Requires="x14">
        <control shapeId="14738" r:id="rId10" name="lbl_MVD_Measurements">
          <controlPr defaultSize="0" autoFill="0" autoLine="0" r:id="rId6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14738" r:id="rId10" name="lbl_MVD_Measurements"/>
      </mc:Fallback>
    </mc:AlternateContent>
    <mc:AlternateContent xmlns:mc="http://schemas.openxmlformats.org/markup-compatibility/2006">
      <mc:Choice Requires="x14">
        <control shapeId="14736" r:id="rId11" name="lbl_Electron_Outputs">
          <controlPr defaultSize="0" autoFill="0" autoLine="0" r:id="rId6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14736" r:id="rId11" name="lbl_Electron_Outputs"/>
      </mc:Fallback>
    </mc:AlternateContent>
    <mc:AlternateContent xmlns:mc="http://schemas.openxmlformats.org/markup-compatibility/2006">
      <mc:Choice Requires="x14">
        <control shapeId="14709" r:id="rId12" name="lbl_Xray_Outputs">
          <controlPr defaultSize="0" autoFill="0" autoLine="0" r:id="rId6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14709" r:id="rId12" name="lbl_Xray_Outputs"/>
      </mc:Fallback>
    </mc:AlternateContent>
    <mc:AlternateContent xmlns:mc="http://schemas.openxmlformats.org/markup-compatibility/2006">
      <mc:Choice Requires="x14">
        <control shapeId="14602" r:id="rId13" name="lbl_Audit">
          <controlPr defaultSize="0" autoFill="0" autoLine="0" r:id="rId6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14602" r:id="rId13" name="lbl_Audit"/>
      </mc:Fallback>
    </mc:AlternateContent>
    <mc:AlternateContent xmlns:mc="http://schemas.openxmlformats.org/markup-compatibility/2006">
      <mc:Choice Requires="x14">
        <control shapeId="1187" r:id="rId14" name="cmdSave">
          <controlPr locked="0" defaultSize="0" autoLine="0" r:id="rId15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1187" r:id="rId14" name="cmdSave"/>
      </mc:Fallback>
    </mc:AlternateContent>
    <mc:AlternateContent xmlns:mc="http://schemas.openxmlformats.org/markup-compatibility/2006">
      <mc:Choice Requires="x14">
        <control shapeId="1148" r:id="rId16" name="cmdOPTrend">
          <controlPr locked="0" defaultSize="0" autoLine="0" r:id="rId17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9</xdr:col>
                <xdr:colOff>323850</xdr:colOff>
                <xdr:row>7</xdr:row>
                <xdr:rowOff>57150</xdr:rowOff>
              </to>
            </anchor>
          </controlPr>
        </control>
      </mc:Choice>
      <mc:Fallback>
        <control shapeId="1148" r:id="rId16" name="cmdOPTrend"/>
      </mc:Fallback>
    </mc:AlternateContent>
    <mc:AlternateContent xmlns:mc="http://schemas.openxmlformats.org/markup-compatibility/2006">
      <mc:Choice Requires="x14">
        <control shapeId="1144" r:id="rId18" name="cmdPrint">
          <controlPr locked="0" defaultSize="0" autoLine="0" r:id="rId19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1144" r:id="rId18" name="cmdPrint"/>
      </mc:Fallback>
    </mc:AlternateContent>
    <mc:AlternateContent xmlns:mc="http://schemas.openxmlformats.org/markup-compatibility/2006">
      <mc:Choice Requires="x14">
        <control shapeId="1136" r:id="rId20" name="cmdClear">
          <controlPr locked="0" defaultSize="0" autoLine="0" r:id="rId21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1136" r:id="rId20" name="cmd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N86"/>
  <sheetViews>
    <sheetView zoomScale="115" zoomScaleNormal="115" workbookViewId="0">
      <pane xSplit="32505" topLeftCell="Y1"/>
      <selection activeCell="C17" sqref="C17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Main!M12</f>
        <v>0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H:\Physics\Vicc\QA\Reports\0\Physicist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>
        <v>5.3689999999999998</v>
      </c>
      <c r="D31" s="75">
        <v>44715</v>
      </c>
      <c r="E31" s="169">
        <f t="shared" ref="E31:E36" si="0">C31/$C$31</f>
        <v>1</v>
      </c>
      <c r="G31" s="69" t="s">
        <v>35</v>
      </c>
      <c r="H31" s="70" t="s">
        <v>115</v>
      </c>
      <c r="I31" s="129">
        <v>53.13</v>
      </c>
      <c r="J31" s="200">
        <v>43181</v>
      </c>
      <c r="K31" s="169">
        <f>I31/$I$31</f>
        <v>1</v>
      </c>
      <c r="L31" s="75"/>
      <c r="M31" s="69" t="s">
        <v>116</v>
      </c>
      <c r="N31" s="70">
        <v>50095</v>
      </c>
      <c r="O31" s="76">
        <v>1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>
        <v>5.3730000000000002</v>
      </c>
      <c r="D32" s="75">
        <v>43154</v>
      </c>
      <c r="E32" s="169">
        <f t="shared" si="0"/>
        <v>1.0007450176941703</v>
      </c>
      <c r="G32" s="69" t="s">
        <v>31</v>
      </c>
      <c r="H32" s="70" t="s">
        <v>114</v>
      </c>
      <c r="I32" s="129">
        <v>56.9</v>
      </c>
      <c r="J32" s="200">
        <v>43159</v>
      </c>
      <c r="K32" s="169">
        <f>I32/$I$31</f>
        <v>1.0709580274797665</v>
      </c>
      <c r="L32" s="75"/>
      <c r="M32" s="69" t="s">
        <v>117</v>
      </c>
      <c r="N32" s="70" t="s">
        <v>120</v>
      </c>
      <c r="O32" s="76">
        <v>1.0009999999999999</v>
      </c>
      <c r="P32" s="75">
        <v>36861</v>
      </c>
      <c r="R32" s="69"/>
      <c r="S32" s="69" t="s">
        <v>127</v>
      </c>
      <c r="T32" s="76" t="s">
        <v>307</v>
      </c>
      <c r="U32" s="69">
        <v>6.98</v>
      </c>
      <c r="V32" s="86">
        <v>6.32</v>
      </c>
      <c r="W32" s="129">
        <v>6.08</v>
      </c>
      <c r="X32" s="129">
        <v>6.69</v>
      </c>
      <c r="AA32" s="69" t="s">
        <v>127</v>
      </c>
      <c r="AB32" s="69" t="s">
        <v>35</v>
      </c>
      <c r="AC32" s="74">
        <v>51.8</v>
      </c>
      <c r="AD32" s="74">
        <v>51.8</v>
      </c>
      <c r="AE32" s="74">
        <v>49.4</v>
      </c>
      <c r="AF32" s="74">
        <v>47.9</v>
      </c>
      <c r="AG32" s="74">
        <v>46.8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>
        <v>5.38</v>
      </c>
      <c r="D33" s="75">
        <v>43154</v>
      </c>
      <c r="E33" s="169">
        <f t="shared" si="0"/>
        <v>1.0020487986589681</v>
      </c>
      <c r="G33" s="69" t="s">
        <v>181</v>
      </c>
      <c r="H33" s="69">
        <v>4249</v>
      </c>
      <c r="I33" s="129">
        <v>55.26</v>
      </c>
      <c r="J33" s="200">
        <v>43159</v>
      </c>
      <c r="K33" s="169">
        <f>I33/$I$31</f>
        <v>1.0400903444381704</v>
      </c>
      <c r="L33" s="75"/>
      <c r="M33" s="69" t="s">
        <v>118</v>
      </c>
      <c r="N33" s="70" t="s">
        <v>121</v>
      </c>
      <c r="O33" s="76">
        <v>1.0009999999999999</v>
      </c>
      <c r="P33" s="75">
        <v>36861</v>
      </c>
      <c r="S33" s="69" t="s">
        <v>128</v>
      </c>
      <c r="T33" s="76" t="s">
        <v>307</v>
      </c>
      <c r="U33" s="69">
        <v>6.96</v>
      </c>
      <c r="V33" s="86">
        <v>6.32</v>
      </c>
      <c r="W33" s="129">
        <v>6.07</v>
      </c>
      <c r="X33" s="129">
        <v>6.69</v>
      </c>
      <c r="AA33" s="69" t="s">
        <v>128</v>
      </c>
      <c r="AB33" s="69" t="s">
        <v>35</v>
      </c>
      <c r="AC33" s="74">
        <v>51.5</v>
      </c>
      <c r="AD33" s="74">
        <v>52</v>
      </c>
      <c r="AE33" s="74">
        <v>49.4</v>
      </c>
      <c r="AF33" s="74">
        <v>47.8</v>
      </c>
      <c r="AG33" s="74">
        <v>46.6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>
        <v>5.3710000000000004</v>
      </c>
      <c r="D34" s="75">
        <v>43154</v>
      </c>
      <c r="E34" s="169">
        <f t="shared" si="0"/>
        <v>1.0003725088470852</v>
      </c>
      <c r="G34" s="69" t="s">
        <v>182</v>
      </c>
      <c r="H34" s="69">
        <v>1305</v>
      </c>
      <c r="I34" s="129">
        <v>145.85</v>
      </c>
      <c r="J34" s="200">
        <v>43159</v>
      </c>
      <c r="K34" s="169">
        <f>I34/$I$31</f>
        <v>2.7451533973273103</v>
      </c>
      <c r="L34" s="75"/>
      <c r="M34" s="69" t="s">
        <v>119</v>
      </c>
      <c r="N34" s="70" t="s">
        <v>122</v>
      </c>
      <c r="O34" s="76">
        <v>1</v>
      </c>
      <c r="P34" s="75">
        <v>36861</v>
      </c>
      <c r="S34" s="69" t="s">
        <v>131</v>
      </c>
      <c r="T34" s="76" t="s">
        <v>307</v>
      </c>
      <c r="U34" s="69">
        <v>6.96</v>
      </c>
      <c r="V34" s="86">
        <v>6.32</v>
      </c>
      <c r="W34" s="129">
        <v>6.08</v>
      </c>
      <c r="X34" s="129">
        <v>6.69</v>
      </c>
      <c r="AA34" s="69" t="s">
        <v>131</v>
      </c>
      <c r="AB34" s="69" t="s">
        <v>35</v>
      </c>
      <c r="AC34" s="74">
        <v>51.8</v>
      </c>
      <c r="AD34" s="74">
        <v>52.3</v>
      </c>
      <c r="AE34" s="74">
        <v>49.5</v>
      </c>
      <c r="AF34" s="74">
        <v>48</v>
      </c>
      <c r="AG34" s="74">
        <v>46.8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>
        <v>5.3949999999999996</v>
      </c>
      <c r="D35" s="75">
        <v>43154</v>
      </c>
      <c r="E35" s="169">
        <f t="shared" si="0"/>
        <v>1.0048426150121066</v>
      </c>
      <c r="M35" s="69" t="s">
        <v>224</v>
      </c>
      <c r="N35" s="70" t="s">
        <v>226</v>
      </c>
      <c r="O35" s="76">
        <v>1</v>
      </c>
      <c r="P35" s="69" t="s">
        <v>225</v>
      </c>
      <c r="S35" s="69" t="s">
        <v>132</v>
      </c>
      <c r="T35" s="76" t="s">
        <v>307</v>
      </c>
      <c r="U35" s="69">
        <v>6.96</v>
      </c>
      <c r="V35" s="69">
        <v>6.32</v>
      </c>
      <c r="W35" s="69">
        <v>6.07</v>
      </c>
      <c r="X35" s="69">
        <v>6.69</v>
      </c>
    </row>
    <row r="36" spans="1:40" x14ac:dyDescent="0.2">
      <c r="A36" s="69" t="s">
        <v>129</v>
      </c>
      <c r="B36" s="69">
        <v>2359</v>
      </c>
      <c r="C36" s="76">
        <v>5.452</v>
      </c>
      <c r="D36" s="75">
        <v>43154</v>
      </c>
      <c r="E36" s="169">
        <f t="shared" si="0"/>
        <v>1.0154591171540324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>
        <v>6.95</v>
      </c>
      <c r="V36" s="69">
        <v>6.31</v>
      </c>
      <c r="W36" s="69">
        <v>6.07</v>
      </c>
      <c r="X36" s="69">
        <v>6.68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>
        <v>6.97</v>
      </c>
      <c r="V37" s="69">
        <v>6.31</v>
      </c>
      <c r="W37" s="69">
        <v>6.07</v>
      </c>
      <c r="X37" s="69">
        <v>6.68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5"/>
  <sheetViews>
    <sheetView workbookViewId="0">
      <selection activeCell="A5" sqref="A5:B5"/>
    </sheetView>
  </sheetViews>
  <sheetFormatPr defaultRowHeight="12.75" x14ac:dyDescent="0.2"/>
  <cols>
    <col min="1" max="1" width="10.7109375" style="69" customWidth="1"/>
    <col min="2" max="2" width="12.42578125" style="156" customWidth="1"/>
    <col min="3" max="4" width="10.7109375" style="69" customWidth="1"/>
  </cols>
  <sheetData>
    <row r="1" spans="1:4" x14ac:dyDescent="0.2">
      <c r="A1" s="135" t="s">
        <v>240</v>
      </c>
    </row>
    <row r="3" spans="1:4" ht="15.75" x14ac:dyDescent="0.25">
      <c r="A3" s="154" t="s">
        <v>303</v>
      </c>
    </row>
    <row r="4" spans="1:4" x14ac:dyDescent="0.2">
      <c r="A4" s="135" t="s">
        <v>242</v>
      </c>
      <c r="B4" s="157" t="s">
        <v>243</v>
      </c>
    </row>
    <row r="5" spans="1:4" x14ac:dyDescent="0.2">
      <c r="A5" s="199">
        <v>2.2189999999999999</v>
      </c>
      <c r="B5" s="155">
        <v>44900</v>
      </c>
    </row>
    <row r="7" spans="1:4" s="136" customFormat="1" x14ac:dyDescent="0.2">
      <c r="A7" s="135" t="s">
        <v>242</v>
      </c>
      <c r="B7" s="157" t="s">
        <v>243</v>
      </c>
      <c r="C7" s="135" t="s">
        <v>247</v>
      </c>
      <c r="D7" s="135" t="s">
        <v>158</v>
      </c>
    </row>
    <row r="8" spans="1:4" x14ac:dyDescent="0.2">
      <c r="A8" s="69" t="s">
        <v>241</v>
      </c>
      <c r="B8" s="156">
        <v>41278</v>
      </c>
      <c r="C8" s="137" t="s">
        <v>248</v>
      </c>
      <c r="D8" s="69" t="s">
        <v>244</v>
      </c>
    </row>
    <row r="9" spans="1:4" x14ac:dyDescent="0.2">
      <c r="A9" s="69" t="s">
        <v>245</v>
      </c>
      <c r="B9" s="156">
        <v>41376</v>
      </c>
      <c r="C9" s="137" t="s">
        <v>248</v>
      </c>
      <c r="D9" s="86" t="s">
        <v>246</v>
      </c>
    </row>
    <row r="10" spans="1:4" x14ac:dyDescent="0.2">
      <c r="A10" s="86" t="s">
        <v>255</v>
      </c>
      <c r="B10" s="156">
        <v>41397</v>
      </c>
      <c r="C10" s="86" t="s">
        <v>248</v>
      </c>
      <c r="D10" s="86" t="s">
        <v>256</v>
      </c>
    </row>
    <row r="11" spans="1:4" x14ac:dyDescent="0.2">
      <c r="A11" s="86" t="s">
        <v>301</v>
      </c>
      <c r="B11" s="156">
        <v>41484</v>
      </c>
      <c r="C11" s="86" t="s">
        <v>248</v>
      </c>
      <c r="D11" s="86" t="s">
        <v>302</v>
      </c>
    </row>
    <row r="12" spans="1:4" x14ac:dyDescent="0.2">
      <c r="A12" s="86" t="s">
        <v>301</v>
      </c>
      <c r="B12" s="156">
        <v>41548</v>
      </c>
      <c r="C12" s="69" t="s">
        <v>248</v>
      </c>
      <c r="D12" s="69" t="s">
        <v>305</v>
      </c>
    </row>
    <row r="13" spans="1:4" x14ac:dyDescent="0.2">
      <c r="A13" s="86" t="s">
        <v>301</v>
      </c>
      <c r="B13" s="156">
        <v>41564</v>
      </c>
      <c r="C13" s="86" t="s">
        <v>248</v>
      </c>
      <c r="D13" s="86" t="s">
        <v>306</v>
      </c>
    </row>
    <row r="14" spans="1:4" x14ac:dyDescent="0.2">
      <c r="A14" s="86" t="s">
        <v>309</v>
      </c>
      <c r="B14" s="156">
        <v>41592</v>
      </c>
      <c r="C14" s="86" t="s">
        <v>248</v>
      </c>
      <c r="D14" s="86" t="s">
        <v>310</v>
      </c>
    </row>
    <row r="15" spans="1:4" x14ac:dyDescent="0.2">
      <c r="A15" s="86" t="s">
        <v>311</v>
      </c>
      <c r="B15" s="156">
        <v>41684</v>
      </c>
      <c r="C15" s="86" t="s">
        <v>248</v>
      </c>
      <c r="D15" s="86" t="s">
        <v>312</v>
      </c>
    </row>
    <row r="16" spans="1:4" x14ac:dyDescent="0.2">
      <c r="A16" s="76">
        <v>2.105</v>
      </c>
      <c r="B16" s="156">
        <v>41782</v>
      </c>
      <c r="C16" s="69" t="s">
        <v>248</v>
      </c>
      <c r="D16" s="86" t="s">
        <v>356</v>
      </c>
    </row>
    <row r="17" spans="1:4" x14ac:dyDescent="0.2">
      <c r="A17" s="76">
        <v>2.2000000000000002</v>
      </c>
      <c r="B17" s="156">
        <v>41808</v>
      </c>
      <c r="C17" s="86" t="s">
        <v>248</v>
      </c>
      <c r="D17" s="86" t="s">
        <v>387</v>
      </c>
    </row>
    <row r="18" spans="1:4" x14ac:dyDescent="0.2">
      <c r="A18" s="76">
        <v>2.2010000000000001</v>
      </c>
      <c r="B18" s="156">
        <v>41940</v>
      </c>
      <c r="C18" s="69" t="s">
        <v>248</v>
      </c>
      <c r="D18" s="69" t="s">
        <v>390</v>
      </c>
    </row>
    <row r="19" spans="1:4" x14ac:dyDescent="0.2">
      <c r="A19" s="76">
        <v>2.202</v>
      </c>
      <c r="B19" s="156">
        <v>42109</v>
      </c>
      <c r="C19" s="69" t="s">
        <v>248</v>
      </c>
      <c r="D19" s="86" t="s">
        <v>428</v>
      </c>
    </row>
    <row r="20" spans="1:4" x14ac:dyDescent="0.2">
      <c r="A20" s="76">
        <v>2.2029999999999998</v>
      </c>
      <c r="B20" s="156">
        <v>42114</v>
      </c>
      <c r="C20" s="86" t="s">
        <v>248</v>
      </c>
      <c r="D20" s="86" t="s">
        <v>448</v>
      </c>
    </row>
    <row r="21" spans="1:4" x14ac:dyDescent="0.2">
      <c r="A21" s="76">
        <v>2.2040000000000002</v>
      </c>
      <c r="B21" s="156">
        <v>42283</v>
      </c>
      <c r="C21" s="86" t="s">
        <v>248</v>
      </c>
      <c r="D21" s="86" t="s">
        <v>467</v>
      </c>
    </row>
    <row r="22" spans="1:4" x14ac:dyDescent="0.2">
      <c r="A22" s="76">
        <v>2.2050000000000001</v>
      </c>
      <c r="B22" s="156">
        <v>42394</v>
      </c>
      <c r="C22" s="69" t="s">
        <v>248</v>
      </c>
      <c r="D22" s="69" t="s">
        <v>468</v>
      </c>
    </row>
    <row r="23" spans="1:4" x14ac:dyDescent="0.2">
      <c r="A23" s="76">
        <v>2.206</v>
      </c>
      <c r="B23" s="156">
        <v>42419</v>
      </c>
      <c r="C23" s="69" t="s">
        <v>248</v>
      </c>
      <c r="D23" s="69" t="s">
        <v>473</v>
      </c>
    </row>
    <row r="24" spans="1:4" x14ac:dyDescent="0.2">
      <c r="A24" s="198" t="s">
        <v>475</v>
      </c>
      <c r="B24" s="156">
        <v>42571</v>
      </c>
      <c r="C24" s="86" t="s">
        <v>476</v>
      </c>
      <c r="D24" s="86" t="s">
        <v>477</v>
      </c>
    </row>
    <row r="25" spans="1:4" x14ac:dyDescent="0.2">
      <c r="A25" s="76">
        <v>2.2080000000000002</v>
      </c>
      <c r="B25" s="156">
        <v>42807</v>
      </c>
      <c r="C25" s="69" t="s">
        <v>248</v>
      </c>
      <c r="D25" s="69" t="s">
        <v>478</v>
      </c>
    </row>
    <row r="26" spans="1:4" x14ac:dyDescent="0.2">
      <c r="A26" s="76">
        <v>2.2090000000000001</v>
      </c>
      <c r="B26" s="156">
        <v>43193</v>
      </c>
      <c r="C26" s="86" t="s">
        <v>248</v>
      </c>
      <c r="D26" s="86" t="s">
        <v>485</v>
      </c>
    </row>
    <row r="27" spans="1:4" x14ac:dyDescent="0.2">
      <c r="A27" s="76">
        <v>2.21</v>
      </c>
      <c r="B27" s="156">
        <v>43270</v>
      </c>
      <c r="C27" s="69" t="s">
        <v>248</v>
      </c>
      <c r="D27" s="69" t="s">
        <v>488</v>
      </c>
    </row>
    <row r="28" spans="1:4" x14ac:dyDescent="0.2">
      <c r="A28" s="76">
        <v>2.2109999999999999</v>
      </c>
      <c r="B28" s="156">
        <v>43467</v>
      </c>
      <c r="C28" s="86" t="s">
        <v>248</v>
      </c>
      <c r="D28" s="86" t="s">
        <v>495</v>
      </c>
    </row>
    <row r="29" spans="1:4" x14ac:dyDescent="0.2">
      <c r="A29" s="76">
        <v>2.2120000000000002</v>
      </c>
      <c r="B29" s="156">
        <v>43749</v>
      </c>
      <c r="C29" s="86" t="s">
        <v>248</v>
      </c>
      <c r="D29" s="86" t="s">
        <v>514</v>
      </c>
    </row>
    <row r="30" spans="1:4" x14ac:dyDescent="0.2">
      <c r="A30" s="76">
        <v>2.2130000000000001</v>
      </c>
      <c r="B30" s="156">
        <v>43859</v>
      </c>
      <c r="C30" s="69" t="s">
        <v>248</v>
      </c>
      <c r="D30" s="69" t="s">
        <v>515</v>
      </c>
    </row>
    <row r="31" spans="1:4" x14ac:dyDescent="0.2">
      <c r="A31" s="76">
        <v>2.214</v>
      </c>
      <c r="B31" s="156">
        <v>43879</v>
      </c>
      <c r="C31" s="69" t="s">
        <v>248</v>
      </c>
      <c r="D31" s="69" t="s">
        <v>516</v>
      </c>
    </row>
    <row r="32" spans="1:4" x14ac:dyDescent="0.2">
      <c r="A32" s="76">
        <v>2.2149999999999999</v>
      </c>
      <c r="B32" s="156">
        <v>44484</v>
      </c>
      <c r="C32" s="69" t="s">
        <v>248</v>
      </c>
      <c r="D32" s="69" t="s">
        <v>468</v>
      </c>
    </row>
    <row r="33" spans="1:4" x14ac:dyDescent="0.2">
      <c r="A33" s="76">
        <v>2.2160000000000002</v>
      </c>
      <c r="B33" s="156">
        <v>44505</v>
      </c>
      <c r="C33" s="86" t="s">
        <v>248</v>
      </c>
      <c r="D33" s="86" t="s">
        <v>518</v>
      </c>
    </row>
    <row r="34" spans="1:4" x14ac:dyDescent="0.2">
      <c r="A34" s="76">
        <v>2.2170000000000001</v>
      </c>
      <c r="B34" s="156">
        <v>44616</v>
      </c>
      <c r="C34" s="69" t="s">
        <v>248</v>
      </c>
      <c r="D34" s="69" t="s">
        <v>519</v>
      </c>
    </row>
    <row r="35" spans="1:4" x14ac:dyDescent="0.2">
      <c r="A35" s="76">
        <v>2.218</v>
      </c>
      <c r="B35" s="156">
        <v>44754</v>
      </c>
      <c r="C35" s="86" t="s">
        <v>248</v>
      </c>
      <c r="D35" s="86" t="s">
        <v>525</v>
      </c>
    </row>
    <row r="36" spans="1:4" x14ac:dyDescent="0.2">
      <c r="A36" s="76">
        <v>2.2189999999999999</v>
      </c>
      <c r="B36" s="156">
        <v>44900</v>
      </c>
      <c r="C36" s="69" t="s">
        <v>248</v>
      </c>
      <c r="D36" s="69" t="s">
        <v>468</v>
      </c>
    </row>
    <row r="37" spans="1:4" x14ac:dyDescent="0.2">
      <c r="A37" s="76"/>
    </row>
    <row r="38" spans="1:4" x14ac:dyDescent="0.2">
      <c r="A38" s="76"/>
    </row>
    <row r="39" spans="1:4" x14ac:dyDescent="0.2">
      <c r="A39" s="76"/>
    </row>
    <row r="40" spans="1:4" x14ac:dyDescent="0.2">
      <c r="A40" s="76"/>
    </row>
    <row r="41" spans="1:4" x14ac:dyDescent="0.2">
      <c r="A41" s="76"/>
    </row>
    <row r="42" spans="1:4" x14ac:dyDescent="0.2">
      <c r="A42" s="76"/>
    </row>
    <row r="43" spans="1:4" x14ac:dyDescent="0.2">
      <c r="A43" s="76"/>
    </row>
    <row r="44" spans="1:4" x14ac:dyDescent="0.2">
      <c r="A44" s="76"/>
    </row>
    <row r="45" spans="1:4" x14ac:dyDescent="0.2">
      <c r="A45" s="76"/>
    </row>
  </sheetData>
  <customSheetViews>
    <customSheetView guid="{FA2D1B4E-F89E-4C35-9D43-0653EC39ACA4}">
      <selection activeCell="F18" sqref="F1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Main</vt:lpstr>
      <vt:lpstr>Data</vt:lpstr>
      <vt:lpstr>Info</vt:lpstr>
      <vt:lpstr>List_Electrometers</vt:lpstr>
      <vt:lpstr>List_Farmer_Probes</vt:lpstr>
      <vt:lpstr>List_Machine</vt:lpstr>
      <vt:lpstr>List_Markus_Probes</vt:lpstr>
      <vt:lpstr>List_Month</vt:lpstr>
      <vt:lpstr>List_Personnel</vt:lpstr>
      <vt:lpstr>List_Status1</vt:lpstr>
      <vt:lpstr>List_Status2</vt:lpstr>
      <vt:lpstr>List_Status3</vt:lpstr>
      <vt:lpstr>List_Status4</vt:lpstr>
      <vt:lpstr>List_Student</vt:lpstr>
      <vt:lpstr>List_Year</vt:lpstr>
      <vt:lpstr>Main!Print_Area</vt:lpstr>
    </vt:vector>
  </TitlesOfParts>
  <Company>PHSABC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DMWells</dc:creator>
  <cp:lastModifiedBy>Wells, Derek [BCCancer]</cp:lastModifiedBy>
  <cp:lastPrinted>2013-03-12T16:30:14Z</cp:lastPrinted>
  <dcterms:created xsi:type="dcterms:W3CDTF">2011-05-04T16:37:19Z</dcterms:created>
  <dcterms:modified xsi:type="dcterms:W3CDTF">2022-12-05T19:44:58Z</dcterms:modified>
</cp:coreProperties>
</file>