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yle.bromma1\Documents\code\pymedphys\src\QAtrack\data\"/>
    </mc:Choice>
  </mc:AlternateContent>
  <bookViews>
    <workbookView xWindow="32760" yWindow="32760" windowWidth="28800" windowHeight="12225" activeTab="3"/>
  </bookViews>
  <sheets>
    <sheet name="Main" sheetId="1" r:id="rId1"/>
    <sheet name="Data" sheetId="3" r:id="rId2"/>
    <sheet name="Info" sheetId="2" r:id="rId3"/>
    <sheet name="QATrack_Main" sheetId="9" r:id="rId4"/>
    <sheet name="QATrack_Data" sheetId="6" r:id="rId5"/>
    <sheet name="QATrack_Definitions" sheetId="7" r:id="rId6"/>
  </sheets>
  <externalReferences>
    <externalReference r:id="rId7"/>
  </externalReferences>
  <definedNames>
    <definedName name="List_Electrometers">Data!$M$31:$M$35</definedName>
    <definedName name="List_Farmer_Probes">Data!$A$31:$A$36</definedName>
    <definedName name="List_Machine">Data!$A$21:$A$26</definedName>
    <definedName name="List_Markus_Probes">Data!$G$31:$G$34</definedName>
    <definedName name="List_Month">Data!$C$2:$C$13</definedName>
    <definedName name="List_Personnel">Data!$A$2:$A$14</definedName>
    <definedName name="List_Status1">Data!$M$2:$M$4</definedName>
    <definedName name="List_Status2">Data!$O$2:$O$3</definedName>
    <definedName name="List_Status3">Data!$Q$2:$Q$3</definedName>
    <definedName name="List_Status4">Data!$S$2:$S$3</definedName>
    <definedName name="List_Student">Data!$U$2:$U$7</definedName>
    <definedName name="List_Year">Data!$D$2:$D$13</definedName>
    <definedName name="_xlnm.Print_Area" localSheetId="0">Main!$B$10:$M$381</definedName>
    <definedName name="_xlnm.Print_Area" localSheetId="3">QATrack_Main!$B$10:$M$381</definedName>
    <definedName name="Z_FA2D1B4E_F89E_4C35_9D43_0653EC39ACA4_.wvu.PrintArea" localSheetId="0" hidden="1">Main!$B$10:$M$381</definedName>
    <definedName name="Z_FA2D1B4E_F89E_4C35_9D43_0653EC39ACA4_.wvu.PrintArea" localSheetId="3" hidden="1">QATrack_Main!$B$10:$M$381</definedName>
  </definedNames>
  <calcPr calcId="162913"/>
  <customWorkbookViews>
    <customWorkbookView name="dwells - Personal View" guid="{FA2D1B4E-F89E-4C35-9D43-0653EC39ACA4}" mergeInterval="0" personalView="1" maximized="1" xWindow="1" yWindow="1" windowWidth="1524" windowHeight="881" activeSheetId="1"/>
  </customWorkbookViews>
</workbook>
</file>

<file path=xl/calcChain.xml><?xml version="1.0" encoding="utf-8"?>
<calcChain xmlns="http://schemas.openxmlformats.org/spreadsheetml/2006/main">
  <c r="I55" i="1" l="1"/>
  <c r="D116" i="9"/>
  <c r="D120" i="9"/>
  <c r="D119" i="9"/>
  <c r="D118" i="9"/>
  <c r="D117" i="9"/>
  <c r="F103" i="9"/>
  <c r="F74" i="9"/>
  <c r="F69" i="9"/>
  <c r="F59" i="9"/>
  <c r="G57" i="9"/>
  <c r="G56" i="9"/>
  <c r="G55" i="9"/>
  <c r="D50" i="9"/>
  <c r="D49" i="9"/>
  <c r="D48" i="9"/>
  <c r="D47" i="9"/>
  <c r="I101" i="9"/>
  <c r="I100" i="9"/>
  <c r="I99" i="9"/>
  <c r="I98" i="9"/>
  <c r="J88" i="9"/>
  <c r="H88" i="9"/>
  <c r="J87" i="9"/>
  <c r="H87" i="9"/>
  <c r="J86" i="9"/>
  <c r="H86" i="9"/>
  <c r="J85" i="9"/>
  <c r="H85" i="9"/>
  <c r="J72" i="9"/>
  <c r="H72" i="9"/>
  <c r="J66" i="9"/>
  <c r="H66" i="9"/>
  <c r="J65" i="9"/>
  <c r="H65" i="9"/>
  <c r="J64" i="9"/>
  <c r="H64" i="9"/>
  <c r="J63" i="9"/>
  <c r="H63" i="9"/>
  <c r="J62" i="9"/>
  <c r="H62" i="9"/>
  <c r="I57" i="9"/>
  <c r="I56" i="9"/>
  <c r="I55" i="9"/>
  <c r="L50" i="9"/>
  <c r="J50" i="9"/>
  <c r="H50" i="9"/>
  <c r="L49" i="9"/>
  <c r="J49" i="9"/>
  <c r="H49" i="9"/>
  <c r="D87" i="9" s="1"/>
  <c r="L48" i="9"/>
  <c r="J48" i="9"/>
  <c r="H48" i="9"/>
  <c r="D56" i="9" s="1"/>
  <c r="L47" i="9"/>
  <c r="J47" i="9"/>
  <c r="H47" i="9"/>
  <c r="D55" i="9" s="1"/>
  <c r="L120" i="9"/>
  <c r="J120" i="9"/>
  <c r="H120" i="9"/>
  <c r="L119" i="9"/>
  <c r="J119" i="9"/>
  <c r="H119" i="9"/>
  <c r="L118" i="9"/>
  <c r="J118" i="9"/>
  <c r="H118" i="9"/>
  <c r="L117" i="9"/>
  <c r="J117" i="9"/>
  <c r="H117" i="9"/>
  <c r="L116" i="9"/>
  <c r="J116" i="9"/>
  <c r="H116" i="9"/>
  <c r="E66" i="9" l="1"/>
  <c r="E64" i="9"/>
  <c r="E65" i="9"/>
  <c r="E72" i="9"/>
  <c r="I72" i="9" s="1"/>
  <c r="K72" i="9" s="1"/>
  <c r="M72" i="9" s="1"/>
  <c r="D85" i="9"/>
  <c r="D86" i="9"/>
  <c r="I86" i="9" s="1"/>
  <c r="K86" i="9" s="1"/>
  <c r="M86" i="9" s="1"/>
  <c r="D88" i="9"/>
  <c r="I88" i="9" s="1"/>
  <c r="K88" i="9" s="1"/>
  <c r="M88" i="9" s="1"/>
  <c r="I66" i="9"/>
  <c r="K66" i="9" s="1"/>
  <c r="M66" i="9" s="1"/>
  <c r="D57" i="9"/>
  <c r="I87" i="9"/>
  <c r="K87" i="9" s="1"/>
  <c r="M87" i="9" s="1"/>
  <c r="E62" i="9"/>
  <c r="E63" i="9"/>
  <c r="I64" i="9"/>
  <c r="K64" i="9" s="1"/>
  <c r="M64" i="9" s="1"/>
  <c r="I63" i="9"/>
  <c r="K63" i="9" s="1"/>
  <c r="M63" i="9" s="1"/>
  <c r="I85" i="9"/>
  <c r="K85" i="9" s="1"/>
  <c r="M85" i="9" s="1"/>
  <c r="I62" i="9"/>
  <c r="K62" i="9" s="1"/>
  <c r="M62" i="9" s="1"/>
  <c r="H55" i="9"/>
  <c r="J55" i="9" s="1"/>
  <c r="L55" i="9" s="1"/>
  <c r="H101" i="9"/>
  <c r="J101" i="9" s="1"/>
  <c r="L101" i="9" s="1"/>
  <c r="I48" i="9"/>
  <c r="K48" i="9" s="1"/>
  <c r="M48" i="9" s="1"/>
  <c r="H98" i="9"/>
  <c r="J98" i="9" s="1"/>
  <c r="L98" i="9" s="1"/>
  <c r="I49" i="9"/>
  <c r="K49" i="9" s="1"/>
  <c r="M49" i="9" s="1"/>
  <c r="I65" i="9"/>
  <c r="K65" i="9" s="1"/>
  <c r="M65" i="9" s="1"/>
  <c r="H99" i="9"/>
  <c r="J99" i="9" s="1"/>
  <c r="L99" i="9" s="1"/>
  <c r="I47" i="9"/>
  <c r="K47" i="9" s="1"/>
  <c r="M47" i="9" s="1"/>
  <c r="H56" i="9"/>
  <c r="J56" i="9" s="1"/>
  <c r="L56" i="9" s="1"/>
  <c r="H100" i="9"/>
  <c r="J100" i="9" s="1"/>
  <c r="L100" i="9" s="1"/>
  <c r="H57" i="9"/>
  <c r="J57" i="9" s="1"/>
  <c r="L57" i="9" s="1"/>
  <c r="I50" i="9"/>
  <c r="K50" i="9" s="1"/>
  <c r="M50" i="9" s="1"/>
  <c r="I118" i="9"/>
  <c r="K118" i="9" s="1"/>
  <c r="M118" i="9" s="1"/>
  <c r="I117" i="9"/>
  <c r="K117" i="9" s="1"/>
  <c r="M117" i="9" s="1"/>
  <c r="I119" i="9"/>
  <c r="K119" i="9" s="1"/>
  <c r="M119" i="9" s="1"/>
  <c r="I116" i="9"/>
  <c r="K116" i="9" s="1"/>
  <c r="M116" i="9" s="1"/>
  <c r="I120" i="9"/>
  <c r="K120" i="9" s="1"/>
  <c r="M120" i="9" s="1"/>
  <c r="I227" i="9"/>
  <c r="E378" i="9"/>
  <c r="L378" i="9" s="1"/>
  <c r="E377" i="9"/>
  <c r="L377" i="9" s="1"/>
  <c r="G373" i="9"/>
  <c r="L373" i="9" s="1"/>
  <c r="G372" i="9"/>
  <c r="L372" i="9" s="1"/>
  <c r="F368" i="9"/>
  <c r="L368" i="9" s="1"/>
  <c r="L364" i="9"/>
  <c r="L363" i="9"/>
  <c r="L362" i="9"/>
  <c r="L361" i="9"/>
  <c r="L357" i="9"/>
  <c r="L356" i="9"/>
  <c r="L355" i="9"/>
  <c r="H338" i="9"/>
  <c r="J338" i="9" s="1"/>
  <c r="J337" i="9"/>
  <c r="H337" i="9"/>
  <c r="L329" i="9"/>
  <c r="L328" i="9"/>
  <c r="K328" i="9"/>
  <c r="I328" i="9"/>
  <c r="G328" i="9"/>
  <c r="J319" i="9"/>
  <c r="J305" i="9" a="1"/>
  <c r="J305" i="9" s="1"/>
  <c r="H285" i="9"/>
  <c r="H284" i="9"/>
  <c r="H283" i="9"/>
  <c r="H282" i="9"/>
  <c r="J271" i="9"/>
  <c r="J267" i="9"/>
  <c r="J263" i="9"/>
  <c r="J259" i="9"/>
  <c r="J255" i="9"/>
  <c r="J252" i="9"/>
  <c r="H252" i="9"/>
  <c r="F252" i="9"/>
  <c r="I235" i="9"/>
  <c r="G232" i="9"/>
  <c r="G231" i="9"/>
  <c r="G230" i="9"/>
  <c r="H227" i="9" a="1"/>
  <c r="H227" i="9" s="1"/>
  <c r="G227" i="9" a="1"/>
  <c r="G227" i="9" s="1"/>
  <c r="F227" i="9" a="1"/>
  <c r="F227" i="9" s="1"/>
  <c r="E227" i="9" a="1"/>
  <c r="E227" i="9" s="1"/>
  <c r="G216" i="9"/>
  <c r="I214" i="9"/>
  <c r="J214" i="9" s="1"/>
  <c r="G214" i="9"/>
  <c r="E214" i="9"/>
  <c r="G208" i="9"/>
  <c r="G200" i="9"/>
  <c r="G192" i="9"/>
  <c r="I186" i="9"/>
  <c r="F186" i="9"/>
  <c r="G176" i="9"/>
  <c r="K170" i="9" a="1"/>
  <c r="K170" i="9" s="1"/>
  <c r="G164" i="9"/>
  <c r="L161" i="9"/>
  <c r="G149" i="9"/>
  <c r="I147" i="9"/>
  <c r="I146" i="9"/>
  <c r="J146" i="9" s="1"/>
  <c r="J145" i="9"/>
  <c r="G139" i="9"/>
  <c r="I137" i="9"/>
  <c r="I136" i="9"/>
  <c r="J136" i="9" s="1"/>
  <c r="I135" i="9"/>
  <c r="I134" i="9"/>
  <c r="J134" i="9" s="1"/>
  <c r="J133" i="9"/>
  <c r="I133" i="9"/>
  <c r="I132" i="9"/>
  <c r="J132" i="9" s="1"/>
  <c r="I131" i="9"/>
  <c r="J131" i="9" s="1"/>
  <c r="G124" i="9"/>
  <c r="H13" i="9"/>
  <c r="L11" i="9"/>
  <c r="H65" i="6"/>
  <c r="H64" i="6"/>
  <c r="H63" i="6"/>
  <c r="H62" i="6"/>
  <c r="E36" i="6"/>
  <c r="E35" i="6"/>
  <c r="K34" i="6"/>
  <c r="E34" i="6"/>
  <c r="K33" i="6"/>
  <c r="E33" i="6"/>
  <c r="K32" i="6"/>
  <c r="E32" i="6"/>
  <c r="K31" i="6"/>
  <c r="E31" i="6"/>
  <c r="L2" i="6"/>
  <c r="E9" i="6" s="1"/>
  <c r="E379" i="9" l="1"/>
  <c r="L379" i="9" s="1"/>
  <c r="L186" i="9"/>
  <c r="J147" i="9"/>
  <c r="J137" i="9"/>
  <c r="J135" i="9"/>
  <c r="I251" i="9"/>
  <c r="G251" i="9"/>
  <c r="K251" i="9"/>
  <c r="J37" i="1"/>
  <c r="M251" i="9" l="1"/>
  <c r="J251" i="1"/>
  <c r="H251" i="1"/>
  <c r="F251" i="1"/>
  <c r="G208" i="1" l="1"/>
  <c r="G200" i="1"/>
  <c r="G192" i="1"/>
  <c r="G176" i="1"/>
  <c r="G164" i="1"/>
  <c r="G149" i="1"/>
  <c r="G139" i="1"/>
  <c r="G124" i="1"/>
  <c r="I235" i="1"/>
  <c r="H13" i="1"/>
  <c r="D120" i="1"/>
  <c r="D119" i="1"/>
  <c r="D118" i="1"/>
  <c r="D117" i="1"/>
  <c r="D116" i="1"/>
  <c r="D50" i="1"/>
  <c r="D49" i="1"/>
  <c r="D48" i="1"/>
  <c r="D47" i="1"/>
  <c r="K34" i="3"/>
  <c r="K33" i="3"/>
  <c r="K32" i="3"/>
  <c r="K31" i="3"/>
  <c r="E36" i="3"/>
  <c r="E35" i="3"/>
  <c r="E34" i="3"/>
  <c r="E33" i="3"/>
  <c r="E32" i="3"/>
  <c r="E31" i="3"/>
  <c r="J214" i="1"/>
  <c r="L368" i="1"/>
  <c r="L329" i="1"/>
  <c r="L328" i="1"/>
  <c r="I101" i="1"/>
  <c r="F368" i="1"/>
  <c r="H338" i="1"/>
  <c r="H337" i="1"/>
  <c r="I328" i="1"/>
  <c r="K328" i="1"/>
  <c r="G328" i="1"/>
  <c r="J252" i="1"/>
  <c r="H252" i="1"/>
  <c r="F252" i="1"/>
  <c r="I214" i="1"/>
  <c r="G214" i="1"/>
  <c r="E214" i="1"/>
  <c r="J107" i="1"/>
  <c r="I100" i="1"/>
  <c r="I99" i="1"/>
  <c r="I98" i="1"/>
  <c r="J88" i="1"/>
  <c r="J87" i="1"/>
  <c r="J86" i="1"/>
  <c r="J85" i="1"/>
  <c r="J72" i="1"/>
  <c r="J66" i="1"/>
  <c r="J65" i="1"/>
  <c r="J64" i="1"/>
  <c r="J63" i="1"/>
  <c r="J62" i="1"/>
  <c r="I57" i="1"/>
  <c r="I56" i="1"/>
  <c r="H47" i="1"/>
  <c r="E64" i="1" s="1"/>
  <c r="H65" i="3"/>
  <c r="H64" i="3"/>
  <c r="H63" i="3"/>
  <c r="H62" i="3"/>
  <c r="L2" i="3"/>
  <c r="E9" i="3" s="1"/>
  <c r="J338" i="1"/>
  <c r="J337" i="1"/>
  <c r="H120" i="1"/>
  <c r="H119" i="1"/>
  <c r="H118" i="1"/>
  <c r="H117" i="1"/>
  <c r="J263" i="1"/>
  <c r="G232" i="1"/>
  <c r="G231" i="1"/>
  <c r="G230" i="1"/>
  <c r="E378" i="1"/>
  <c r="E377" i="1"/>
  <c r="L377" i="1" s="1"/>
  <c r="G216" i="1"/>
  <c r="F74" i="1"/>
  <c r="F69" i="1"/>
  <c r="F59" i="1"/>
  <c r="F103" i="1"/>
  <c r="J305" i="1" a="1"/>
  <c r="J305" i="1" s="1"/>
  <c r="J105" i="1"/>
  <c r="L11" i="1"/>
  <c r="G373" i="1"/>
  <c r="L373" i="1" s="1"/>
  <c r="G372" i="1"/>
  <c r="L372" i="1" s="1"/>
  <c r="L364" i="1"/>
  <c r="L363" i="1"/>
  <c r="L362" i="1"/>
  <c r="L361" i="1"/>
  <c r="L357" i="1"/>
  <c r="L356" i="1"/>
  <c r="L355" i="1"/>
  <c r="I227" i="1" a="1"/>
  <c r="I227" i="1" s="1"/>
  <c r="H227" i="1" a="1"/>
  <c r="H227" i="1" s="1"/>
  <c r="G227" i="1" a="1"/>
  <c r="G227" i="1" s="1"/>
  <c r="F227" i="1" a="1"/>
  <c r="F227" i="1" s="1"/>
  <c r="E227" i="1" a="1"/>
  <c r="E227" i="1" s="1"/>
  <c r="K170" i="1" a="1"/>
  <c r="K170" i="1" s="1"/>
  <c r="J35" i="1"/>
  <c r="J47" i="1"/>
  <c r="L47" i="1"/>
  <c r="H48" i="1"/>
  <c r="D86" i="1" s="1"/>
  <c r="J48" i="1"/>
  <c r="L48" i="1"/>
  <c r="H49" i="1"/>
  <c r="J49" i="1"/>
  <c r="L49" i="1"/>
  <c r="H50" i="1"/>
  <c r="D88" i="1" s="1"/>
  <c r="J50" i="1"/>
  <c r="L50" i="1"/>
  <c r="G55" i="1"/>
  <c r="G56" i="1"/>
  <c r="G57" i="1"/>
  <c r="H62" i="1"/>
  <c r="H63" i="1"/>
  <c r="H64" i="1"/>
  <c r="H65" i="1"/>
  <c r="H66" i="1"/>
  <c r="H72" i="1"/>
  <c r="H85" i="1"/>
  <c r="H86" i="1"/>
  <c r="H87" i="1"/>
  <c r="H88" i="1"/>
  <c r="H116" i="1"/>
  <c r="J116" i="1"/>
  <c r="L116" i="1"/>
  <c r="J117" i="1"/>
  <c r="L117" i="1"/>
  <c r="J118" i="1"/>
  <c r="L118" i="1"/>
  <c r="J119" i="1"/>
  <c r="L119" i="1"/>
  <c r="J120" i="1"/>
  <c r="L120" i="1"/>
  <c r="I131" i="1"/>
  <c r="J131" i="1" s="1"/>
  <c r="I132" i="1"/>
  <c r="J132" i="1" s="1"/>
  <c r="I133" i="1"/>
  <c r="J133" i="1" s="1"/>
  <c r="I134" i="1"/>
  <c r="J134" i="1" s="1"/>
  <c r="E135" i="1"/>
  <c r="F135" i="1"/>
  <c r="G135" i="1"/>
  <c r="H135" i="1"/>
  <c r="I135" i="1"/>
  <c r="E136" i="1"/>
  <c r="F136" i="1"/>
  <c r="G136" i="1"/>
  <c r="H136" i="1"/>
  <c r="I136" i="1"/>
  <c r="E137" i="1"/>
  <c r="F137" i="1"/>
  <c r="G137" i="1"/>
  <c r="H137" i="1"/>
  <c r="I137" i="1"/>
  <c r="J145" i="1"/>
  <c r="I146" i="1"/>
  <c r="J146" i="1"/>
  <c r="E147" i="1"/>
  <c r="F147" i="1"/>
  <c r="G147" i="1"/>
  <c r="H147" i="1"/>
  <c r="I147" i="1"/>
  <c r="L161" i="1"/>
  <c r="F186" i="1"/>
  <c r="I186" i="1"/>
  <c r="G251" i="1"/>
  <c r="I251" i="1"/>
  <c r="K251" i="1"/>
  <c r="J255" i="1"/>
  <c r="J259" i="1"/>
  <c r="J267" i="1"/>
  <c r="J271" i="1"/>
  <c r="H282" i="1"/>
  <c r="H283" i="1"/>
  <c r="H284" i="1"/>
  <c r="H285" i="1"/>
  <c r="J319" i="1"/>
  <c r="E62" i="1" l="1"/>
  <c r="I62" i="1" s="1"/>
  <c r="K62" i="1" s="1"/>
  <c r="M62" i="1" s="1"/>
  <c r="E72" i="1"/>
  <c r="I72" i="1" s="1"/>
  <c r="K72" i="1" s="1"/>
  <c r="M72" i="1" s="1"/>
  <c r="D55" i="1"/>
  <c r="H55" i="1" s="1"/>
  <c r="J55" i="1" s="1"/>
  <c r="L55" i="1" s="1"/>
  <c r="D85" i="1"/>
  <c r="I85" i="1" s="1"/>
  <c r="K85" i="1" s="1"/>
  <c r="M85" i="1" s="1"/>
  <c r="E63" i="1"/>
  <c r="I63" i="1" s="1"/>
  <c r="K63" i="1" s="1"/>
  <c r="M63" i="1" s="1"/>
  <c r="I88" i="1"/>
  <c r="K88" i="1" s="1"/>
  <c r="M88" i="1" s="1"/>
  <c r="E65" i="1"/>
  <c r="I65" i="1" s="1"/>
  <c r="K65" i="1" s="1"/>
  <c r="M65" i="1" s="1"/>
  <c r="E379" i="1"/>
  <c r="L379" i="1" s="1"/>
  <c r="J147" i="1"/>
  <c r="D57" i="1"/>
  <c r="H57" i="1" s="1"/>
  <c r="J57" i="1" s="1"/>
  <c r="L57" i="1" s="1"/>
  <c r="D56" i="1"/>
  <c r="H56" i="1" s="1"/>
  <c r="J56" i="1" s="1"/>
  <c r="L56" i="1" s="1"/>
  <c r="E66" i="1"/>
  <c r="I66" i="1" s="1"/>
  <c r="K66" i="1" s="1"/>
  <c r="M66" i="1" s="1"/>
  <c r="J137" i="1"/>
  <c r="H98" i="1"/>
  <c r="J98" i="1" s="1"/>
  <c r="L98" i="1" s="1"/>
  <c r="J135" i="1"/>
  <c r="I120" i="1"/>
  <c r="K120" i="1" s="1"/>
  <c r="M120" i="1" s="1"/>
  <c r="L186" i="1"/>
  <c r="J136" i="1"/>
  <c r="I86" i="1"/>
  <c r="K86" i="1" s="1"/>
  <c r="M86" i="1" s="1"/>
  <c r="I64" i="1"/>
  <c r="K64" i="1" s="1"/>
  <c r="M64" i="1" s="1"/>
  <c r="H100" i="1"/>
  <c r="J100" i="1" s="1"/>
  <c r="L100" i="1" s="1"/>
  <c r="I49" i="1"/>
  <c r="K49" i="1" s="1"/>
  <c r="M49" i="1" s="1"/>
  <c r="I116" i="1"/>
  <c r="K116" i="1" s="1"/>
  <c r="M116" i="1" s="1"/>
  <c r="I119" i="1"/>
  <c r="K119" i="1" s="1"/>
  <c r="M119" i="1" s="1"/>
  <c r="M251" i="1"/>
  <c r="I47" i="1"/>
  <c r="K47" i="1" s="1"/>
  <c r="M47" i="1" s="1"/>
  <c r="I50" i="1"/>
  <c r="K50" i="1" s="1"/>
  <c r="M50" i="1" s="1"/>
  <c r="D87" i="1"/>
  <c r="I87" i="1" s="1"/>
  <c r="K87" i="1" s="1"/>
  <c r="M87" i="1" s="1"/>
  <c r="L378" i="1"/>
  <c r="H101" i="1"/>
  <c r="J101" i="1" s="1"/>
  <c r="L101" i="1" s="1"/>
  <c r="I48" i="1"/>
  <c r="K48" i="1" s="1"/>
  <c r="M48" i="1" s="1"/>
  <c r="H99" i="1"/>
  <c r="J99" i="1" s="1"/>
  <c r="L99" i="1" s="1"/>
  <c r="I118" i="1"/>
  <c r="K118" i="1" s="1"/>
  <c r="M118" i="1" s="1"/>
  <c r="I117" i="1"/>
  <c r="K117" i="1" s="1"/>
  <c r="M117" i="1" s="1"/>
</calcChain>
</file>

<file path=xl/comments1.xml><?xml version="1.0" encoding="utf-8"?>
<comments xmlns="http://schemas.openxmlformats.org/spreadsheetml/2006/main">
  <authors>
    <author>Wells, Derek</author>
    <author>DMWells</author>
    <author>dwells</author>
  </authors>
  <commentList>
    <comment ref="I37" authorId="0" shapeId="0">
      <text>
        <r>
          <rPr>
            <b/>
            <sz val="9"/>
            <color indexed="81"/>
            <rFont val="Tahoma"/>
            <family val="2"/>
          </rPr>
          <t>Wells, Derek:</t>
        </r>
        <r>
          <rPr>
            <sz val="9"/>
            <color indexed="81"/>
            <rFont val="Tahoma"/>
            <family val="2"/>
          </rPr>
          <t xml:space="preserve">
ND value relative to secondary standard (PTW#7) ND value</t>
        </r>
      </text>
    </comment>
    <comment ref="J168" authorId="1" shapeId="0">
      <text>
        <r>
          <rPr>
            <b/>
            <sz val="8"/>
            <color indexed="81"/>
            <rFont val="Tahoma"/>
            <family val="2"/>
          </rPr>
          <t>DMWells:</t>
        </r>
        <r>
          <rPr>
            <sz val="8"/>
            <color indexed="81"/>
            <rFont val="Tahoma"/>
            <family val="2"/>
          </rPr>
          <t xml:space="preserve">
Clinically significant artefacts</t>
        </r>
      </text>
    </comment>
    <comment ref="C184" authorId="1" shapeId="0">
      <text>
        <r>
          <rPr>
            <b/>
            <sz val="8"/>
            <color indexed="81"/>
            <rFont val="Tahoma"/>
            <family val="2"/>
          </rPr>
          <t>DMWells:</t>
        </r>
        <r>
          <rPr>
            <sz val="8"/>
            <color indexed="81"/>
            <rFont val="Tahoma"/>
            <family val="2"/>
          </rPr>
          <t xml:space="preserve">
Distance between adjacent junctions</t>
        </r>
      </text>
    </comment>
    <comment ref="G184" authorId="1" shapeId="0">
      <text>
        <r>
          <rPr>
            <b/>
            <sz val="8"/>
            <color indexed="81"/>
            <rFont val="Tahoma"/>
            <family val="2"/>
          </rPr>
          <t>DMWells:</t>
        </r>
        <r>
          <rPr>
            <sz val="8"/>
            <color indexed="81"/>
            <rFont val="Tahoma"/>
            <family val="2"/>
          </rPr>
          <t xml:space="preserve">
Portal QA analyzes the average peak size of the central junction with the average peak size of all non-CAX junctions; tests carriage</t>
        </r>
      </text>
    </comment>
    <comment ref="J184" authorId="1" shapeId="0">
      <text>
        <r>
          <rPr>
            <b/>
            <sz val="8"/>
            <color indexed="81"/>
            <rFont val="Tahoma"/>
            <family val="2"/>
          </rPr>
          <t>DMWells:</t>
        </r>
        <r>
          <rPr>
            <sz val="8"/>
            <color indexed="81"/>
            <rFont val="Tahoma"/>
            <family val="2"/>
          </rPr>
          <t xml:space="preserve">
Portal QA analyzes every leaf-pair junction for peak size relative to the junction average and peak displacement relative to the junction average displacement.
Tolerance: 20%, 1mm</t>
        </r>
      </text>
    </comment>
    <comment ref="H303" authorId="2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Radiation field covers entire detector array
(5mm tolerance)</t>
        </r>
      </text>
    </comment>
    <comment ref="I303" authorId="2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Clinically significant artifacts</t>
        </r>
      </text>
    </comment>
    <comment ref="D378" authorId="2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avg value from section 
9.5 Noise</t>
        </r>
      </text>
    </comment>
  </commentList>
</comments>
</file>

<file path=xl/comments2.xml><?xml version="1.0" encoding="utf-8"?>
<comments xmlns="http://schemas.openxmlformats.org/spreadsheetml/2006/main">
  <authors>
    <author>Wells, Derek</author>
    <author>dwells</author>
  </authors>
  <commentList>
    <comment ref="J31" authorId="0" shapeId="0">
      <text>
        <r>
          <rPr>
            <b/>
            <sz val="9"/>
            <color indexed="81"/>
            <rFont val="Tahoma"/>
            <family val="2"/>
          </rPr>
          <t>Wells, Derek:</t>
        </r>
        <r>
          <rPr>
            <sz val="9"/>
            <color indexed="81"/>
            <rFont val="Tahoma"/>
            <family val="2"/>
          </rPr>
          <t xml:space="preserve">
Average from measurements taken on 22-Mar-18 (Derek) and 29-aug-2017 (Shadi)</t>
        </r>
      </text>
    </comment>
    <comment ref="K52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 0.0740 (up to 31-Mar-2015)</t>
        </r>
      </text>
    </comment>
    <comment ref="L52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value: 0.0655 (up to Mar 31, 2015)</t>
        </r>
      </text>
    </comment>
    <comment ref="S52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 0.240 (31-Mar-2015)
old ref value 0.249 (up to 6-oct-2015)</t>
        </r>
      </text>
    </comment>
    <comment ref="L53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 0.930 (up to 31-Mar-2015)</t>
        </r>
      </text>
    </comment>
    <comment ref="S53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 1.092 (up to 31-Mar-2015)
old ref value 1.120 (up to 6-oct-2015)</t>
        </r>
      </text>
    </comment>
    <comment ref="V53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value 0.1 mAs (up to 15-Apr-2015);
TB2.0 has a min value of 0.4 mAs for all protocols</t>
        </r>
      </text>
    </comment>
    <comment ref="K54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 0.629 (up to 31-Mar-2015)
</t>
        </r>
      </text>
    </comment>
    <comment ref="L54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 0.624 (up to 31-mar-2015)</t>
        </r>
      </text>
    </comment>
    <comment ref="S54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 0.272 (up to 31-Mar-2015)</t>
        </r>
      </text>
    </comment>
    <comment ref="K55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 0.233 (up to 31-Mar-2015)</t>
        </r>
      </text>
    </comment>
    <comment ref="L55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value: 0.325 (up to 31-mar-2015)</t>
        </r>
      </text>
    </comment>
    <comment ref="K56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 1.510 (up to 31-mar-2015)</t>
        </r>
      </text>
    </comment>
    <comment ref="L56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 1.150 (up to 31-Mar-2015)</t>
        </r>
      </text>
    </comment>
  </commentList>
</comments>
</file>

<file path=xl/comments3.xml><?xml version="1.0" encoding="utf-8"?>
<comments xmlns="http://schemas.openxmlformats.org/spreadsheetml/2006/main">
  <authors>
    <author>Wells, Derek</author>
    <author>DMWells</author>
    <author>dwells</author>
  </authors>
  <commentList>
    <comment ref="I37" authorId="0" shapeId="0">
      <text>
        <r>
          <rPr>
            <b/>
            <sz val="9"/>
            <color indexed="81"/>
            <rFont val="Tahoma"/>
            <family val="2"/>
          </rPr>
          <t>Wells, Derek:</t>
        </r>
        <r>
          <rPr>
            <sz val="9"/>
            <color indexed="81"/>
            <rFont val="Tahoma"/>
            <family val="2"/>
          </rPr>
          <t xml:space="preserve">
ND value relative to secondary standard (PTW#7) ND value</t>
        </r>
      </text>
    </comment>
    <comment ref="J168" authorId="1" shapeId="0">
      <text>
        <r>
          <rPr>
            <b/>
            <sz val="8"/>
            <color indexed="81"/>
            <rFont val="Tahoma"/>
            <family val="2"/>
          </rPr>
          <t>DMWells:</t>
        </r>
        <r>
          <rPr>
            <sz val="8"/>
            <color indexed="81"/>
            <rFont val="Tahoma"/>
            <family val="2"/>
          </rPr>
          <t xml:space="preserve">
Clinically significant artefacts</t>
        </r>
      </text>
    </comment>
    <comment ref="C184" authorId="1" shapeId="0">
      <text>
        <r>
          <rPr>
            <b/>
            <sz val="8"/>
            <color indexed="81"/>
            <rFont val="Tahoma"/>
            <family val="2"/>
          </rPr>
          <t>DMWells:</t>
        </r>
        <r>
          <rPr>
            <sz val="8"/>
            <color indexed="81"/>
            <rFont val="Tahoma"/>
            <family val="2"/>
          </rPr>
          <t xml:space="preserve">
Distance between adjacent junctions</t>
        </r>
      </text>
    </comment>
    <comment ref="G184" authorId="1" shapeId="0">
      <text>
        <r>
          <rPr>
            <b/>
            <sz val="8"/>
            <color indexed="81"/>
            <rFont val="Tahoma"/>
            <family val="2"/>
          </rPr>
          <t>DMWells:</t>
        </r>
        <r>
          <rPr>
            <sz val="8"/>
            <color indexed="81"/>
            <rFont val="Tahoma"/>
            <family val="2"/>
          </rPr>
          <t xml:space="preserve">
Portal QA analyzes the average peak size of the central junction with the average peak size of all non-CAX junctions; tests carriage</t>
        </r>
      </text>
    </comment>
    <comment ref="J184" authorId="1" shapeId="0">
      <text>
        <r>
          <rPr>
            <b/>
            <sz val="8"/>
            <color indexed="81"/>
            <rFont val="Tahoma"/>
            <family val="2"/>
          </rPr>
          <t>DMWells:</t>
        </r>
        <r>
          <rPr>
            <sz val="8"/>
            <color indexed="81"/>
            <rFont val="Tahoma"/>
            <family val="2"/>
          </rPr>
          <t xml:space="preserve">
Portal QA analyzes every leaf-pair junction for peak size relative to the junction average and peak displacement relative to the junction average displacement.
Tolerance: 20%, 1mm</t>
        </r>
      </text>
    </comment>
    <comment ref="H303" authorId="2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Radiation field covers entire detector array
(5mm tolerance)</t>
        </r>
      </text>
    </comment>
    <comment ref="I303" authorId="2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Clinically significant artifacts</t>
        </r>
      </text>
    </comment>
    <comment ref="D378" authorId="2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avg value from section 
9.5 Noise</t>
        </r>
      </text>
    </comment>
  </commentList>
</comments>
</file>

<file path=xl/comments4.xml><?xml version="1.0" encoding="utf-8"?>
<comments xmlns="http://schemas.openxmlformats.org/spreadsheetml/2006/main">
  <authors>
    <author>Wells, Derek</author>
    <author>dwells</author>
  </authors>
  <commentList>
    <comment ref="J31" authorId="0" shapeId="0">
      <text>
        <r>
          <rPr>
            <b/>
            <sz val="9"/>
            <color indexed="81"/>
            <rFont val="Tahoma"/>
            <family val="2"/>
          </rPr>
          <t>Wells, Derek:</t>
        </r>
        <r>
          <rPr>
            <sz val="9"/>
            <color indexed="81"/>
            <rFont val="Tahoma"/>
            <family val="2"/>
          </rPr>
          <t xml:space="preserve">
Average from measurements taken on 22-Mar-18 (Derek) and 29-aug-2017 (Shadi)</t>
        </r>
      </text>
    </comment>
    <comment ref="K52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 0.0740 (up to 31-Mar-2015)</t>
        </r>
      </text>
    </comment>
    <comment ref="L52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value: 0.0655 (up to Mar 31, 2015)</t>
        </r>
      </text>
    </comment>
    <comment ref="S52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 0.240 (31-Mar-2015)
old ref value 0.249 (up to 6-oct-2015)</t>
        </r>
      </text>
    </comment>
    <comment ref="L53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 0.930 (up to 31-Mar-2015)</t>
        </r>
      </text>
    </comment>
    <comment ref="S53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 1.092 (up to 31-Mar-2015)
old ref value 1.120 (up to 6-oct-2015)</t>
        </r>
      </text>
    </comment>
    <comment ref="V53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value 0.1 mAs (up to 15-Apr-2015);
TB2.0 has a min value of 0.4 mAs for all protocols</t>
        </r>
      </text>
    </comment>
    <comment ref="K54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 0.629 (up to 31-Mar-2015)
</t>
        </r>
      </text>
    </comment>
    <comment ref="L54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 0.624 (up to 31-mar-2015)</t>
        </r>
      </text>
    </comment>
    <comment ref="S54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 0.272 (up to 31-Mar-2015)</t>
        </r>
      </text>
    </comment>
    <comment ref="K55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 0.233 (up to 31-Mar-2015)</t>
        </r>
      </text>
    </comment>
    <comment ref="L55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value: 0.325 (up to 31-mar-2015)</t>
        </r>
      </text>
    </comment>
    <comment ref="K56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 1.510 (up to 31-mar-2015)</t>
        </r>
      </text>
    </comment>
    <comment ref="L56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 1.150 (up to 31-Mar-2015)</t>
        </r>
      </text>
    </comment>
  </commentList>
</comments>
</file>

<file path=xl/sharedStrings.xml><?xml version="1.0" encoding="utf-8"?>
<sst xmlns="http://schemas.openxmlformats.org/spreadsheetml/2006/main" count="2412" uniqueCount="844">
  <si>
    <t>PHYSICIST MONTHLY QA REPORT</t>
  </si>
  <si>
    <t>Month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</si>
  <si>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</si>
  <si>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</si>
  <si>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</si>
  <si>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</si>
  <si>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</si>
  <si>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</si>
  <si>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</si>
  <si>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</si>
  <si>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</si>
  <si>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</si>
  <si>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</si>
  <si>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</si>
  <si>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Year</t>
  </si>
  <si>
    <t>SUMMARY</t>
  </si>
  <si>
    <t>Medical Physicist</t>
  </si>
  <si>
    <t>Derek Wells</t>
  </si>
  <si>
    <t>Wayne Beckham</t>
  </si>
  <si>
    <t>Carmen Popescu</t>
  </si>
  <si>
    <t>Sergei Zavgorodni</t>
  </si>
  <si>
    <r>
      <t>Isabelle Gagn</t>
    </r>
    <r>
      <rPr>
        <sz val="10"/>
        <rFont val="Arial"/>
        <family val="2"/>
      </rPr>
      <t>é</t>
    </r>
  </si>
  <si>
    <t>PASS</t>
  </si>
  <si>
    <t>FAIL</t>
  </si>
  <si>
    <t>PA Weekly Light-Radiation Coincidence Test</t>
  </si>
  <si>
    <t>Physics Assistant's (PA) Weekly Output Test</t>
  </si>
  <si>
    <t>PA Monthly QA Report</t>
  </si>
  <si>
    <t>RTT Daily (morning) QC Tests</t>
  </si>
  <si>
    <t>Electrometer:</t>
  </si>
  <si>
    <t>Probe</t>
  </si>
  <si>
    <t>PTW#5</t>
  </si>
  <si>
    <t>MKS#2</t>
  </si>
  <si>
    <t>PTW#4</t>
  </si>
  <si>
    <t>PTW#3</t>
  </si>
  <si>
    <t>PTW#2</t>
  </si>
  <si>
    <t>MKS#1</t>
  </si>
  <si>
    <t>Electrometer</t>
  </si>
  <si>
    <t>(settings: med range, nC, -300V)</t>
  </si>
  <si>
    <t>Energy</t>
  </si>
  <si>
    <t>Rdg 1</t>
  </si>
  <si>
    <t>Rdg 2</t>
  </si>
  <si>
    <t>Rdg 3</t>
  </si>
  <si>
    <t>Avg Rdg</t>
  </si>
  <si>
    <t>Fc</t>
  </si>
  <si>
    <t>Tolerance</t>
  </si>
  <si>
    <t>(MV)</t>
  </si>
  <si>
    <t>(cGy/nC)</t>
  </si>
  <si>
    <t>(nC)</t>
  </si>
  <si>
    <t>(cGy)</t>
  </si>
  <si>
    <t>Dose</t>
  </si>
  <si>
    <t>(%)</t>
  </si>
  <si>
    <t>Δ</t>
  </si>
  <si>
    <t>Value</t>
  </si>
  <si>
    <t>Rdg 60IN</t>
  </si>
  <si>
    <t>EDW60 Values</t>
  </si>
  <si>
    <t>Open</t>
  </si>
  <si>
    <t>EDWf</t>
  </si>
  <si>
    <t>Rdg 60OUT</t>
  </si>
  <si>
    <t>(cm)</t>
  </si>
  <si>
    <t>TMR</t>
  </si>
  <si>
    <t>Depth (cm)</t>
  </si>
  <si>
    <t>Rdg1 dmax</t>
  </si>
  <si>
    <t>Rdg2 dmax</t>
  </si>
  <si>
    <t>TMR(10)</t>
  </si>
  <si>
    <t>(1mm cap on)</t>
  </si>
  <si>
    <t>(MeV)</t>
  </si>
  <si>
    <t>Ref Value</t>
  </si>
  <si>
    <t>Ratio</t>
  </si>
  <si>
    <t>1. AUDITS</t>
  </si>
  <si>
    <t>INSTRUCTIONS:</t>
  </si>
  <si>
    <t>Areas colour-coded GREEN are for data entry</t>
  </si>
  <si>
    <t>ΔY2</t>
  </si>
  <si>
    <t>(mm)</t>
  </si>
  <si>
    <t>Collim (°)</t>
  </si>
  <si>
    <t>Y2 (cm)</t>
  </si>
  <si>
    <t>Y1 (cm)</t>
  </si>
  <si>
    <t>X1 (cm)</t>
  </si>
  <si>
    <t>X2 (cm)</t>
  </si>
  <si>
    <t>X1</t>
  </si>
  <si>
    <t>X2</t>
  </si>
  <si>
    <t>Y1</t>
  </si>
  <si>
    <t>Y2</t>
  </si>
  <si>
    <t>X1/Y2 Jxn</t>
  </si>
  <si>
    <t>X2/Y1 Jxn</t>
  </si>
  <si>
    <t>Junction (%)</t>
  </si>
  <si>
    <t>Edge (mm)</t>
  </si>
  <si>
    <t>X-Flatness</t>
  </si>
  <si>
    <t>X-Symmetry</t>
  </si>
  <si>
    <t>Y-Flatness</t>
  </si>
  <si>
    <t>Y-Symmetry</t>
  </si>
  <si>
    <t>Artefacts</t>
  </si>
  <si>
    <t>YES</t>
  </si>
  <si>
    <t>NO</t>
  </si>
  <si>
    <t>Comment on any image artefacts:</t>
  </si>
  <si>
    <t>Y</t>
  </si>
  <si>
    <t>Distance</t>
  </si>
  <si>
    <t>Individual</t>
  </si>
  <si>
    <t>Comments:</t>
  </si>
  <si>
    <t>Dist.(cm)</t>
  </si>
  <si>
    <t>Dist. (cm)</t>
  </si>
  <si>
    <t>ΔCAX (%)</t>
  </si>
  <si>
    <t>Overall</t>
  </si>
  <si>
    <t>ΔPeak Size</t>
  </si>
  <si>
    <t>ΔX1</t>
  </si>
  <si>
    <t>ΔX2</t>
  </si>
  <si>
    <t>ΔY1</t>
  </si>
  <si>
    <t>(Radiation field edge relative to machine isocentre: '+' underlap, '-' overlap; Junction: '+' underlap, '-' overlap)</t>
  </si>
  <si>
    <t>H:\Physics\Vicc\Qa\VarianLinac\Weekly OP.xls</t>
  </si>
  <si>
    <t>H:\Physics\Vicc\Qa\VarianLinac\dMLC Monthly OP.xls</t>
  </si>
  <si>
    <t>H:\Physics\Vicc\QA\VarianLinac\Physics-PhyAssis Output Comparison.xls</t>
  </si>
  <si>
    <t>H:\Physics\Vicc\Qa\VarianLinac</t>
  </si>
  <si>
    <t>CONTROLS:</t>
  </si>
  <si>
    <t>CONDITIONAL PASS</t>
  </si>
  <si>
    <t>s/n</t>
  </si>
  <si>
    <t>0434</t>
  </si>
  <si>
    <t>1705</t>
  </si>
  <si>
    <t>Unidos S1</t>
  </si>
  <si>
    <t>Unidos E2</t>
  </si>
  <si>
    <t>Unidos E3</t>
  </si>
  <si>
    <t>Unidos E4</t>
  </si>
  <si>
    <t>0013</t>
  </si>
  <si>
    <t>0034</t>
  </si>
  <si>
    <t>0035</t>
  </si>
  <si>
    <t>Probe:</t>
  </si>
  <si>
    <t>Rdg d10</t>
  </si>
  <si>
    <t>Monthly OP.xls</t>
  </si>
  <si>
    <t>H:\Physics\Vicc\Qa\VarianLinac\Monthly OP.xls</t>
  </si>
  <si>
    <t>VIFIR_TB1</t>
  </si>
  <si>
    <t>VIARBUTUS_TB2</t>
  </si>
  <si>
    <t>PTW#6</t>
  </si>
  <si>
    <t>Dated</t>
  </si>
  <si>
    <t>VIBIRCH_TB3</t>
  </si>
  <si>
    <t>VICEDAR_TB4</t>
  </si>
  <si>
    <t>VISPRUCE_TB5</t>
  </si>
  <si>
    <t>VIOAK_TB6</t>
  </si>
  <si>
    <t>H:\Physics\Vicc\QA\Reports</t>
  </si>
  <si>
    <t>Dir/File</t>
  </si>
  <si>
    <t>10fff</t>
  </si>
  <si>
    <t>TMR Reference Values</t>
  </si>
  <si>
    <t>Today</t>
  </si>
  <si>
    <t>Save: Saves data using a standardized Filename and Directory Path</t>
  </si>
  <si>
    <t>Update dB: Updates the Output trending database</t>
  </si>
  <si>
    <t>Sequence</t>
  </si>
  <si>
    <t>5mm Slot</t>
  </si>
  <si>
    <t>Prostate</t>
  </si>
  <si>
    <t>Rdg1</t>
  </si>
  <si>
    <t>Rdg2</t>
  </si>
  <si>
    <t>5mm</t>
  </si>
  <si>
    <t>dMLC Reference O/P Values</t>
  </si>
  <si>
    <t>H&amp;N_VMAT</t>
  </si>
  <si>
    <r>
      <t xml:space="preserve">5mm </t>
    </r>
    <r>
      <rPr>
        <i/>
        <sz val="8"/>
        <color indexed="10"/>
        <rFont val="Arial"/>
        <family val="2"/>
      </rPr>
      <t>interrupt*</t>
    </r>
  </si>
  <si>
    <t>* Half way through leaf sequence delivery press Beam OFF button on console, then complete delivery</t>
  </si>
  <si>
    <t>dMLC Error*</t>
  </si>
  <si>
    <t>Result</t>
  </si>
  <si>
    <t>* Attempt to deliver leaf sequence, software interlock should occur</t>
  </si>
  <si>
    <t>Beam Hold</t>
  </si>
  <si>
    <t>Reference</t>
  </si>
  <si>
    <t>d</t>
  </si>
  <si>
    <t>Comments</t>
  </si>
  <si>
    <t>6E: 11cm</t>
  </si>
  <si>
    <t>9E: 10cm</t>
  </si>
  <si>
    <t>12E: 7.5cm</t>
  </si>
  <si>
    <t>16E: 7.5cm</t>
  </si>
  <si>
    <t>20E: 7cm</t>
  </si>
  <si>
    <t xml:space="preserve">X1,X2,Y1,Y2 </t>
  </si>
  <si>
    <t>Rad - Dig</t>
  </si>
  <si>
    <t>-</t>
  </si>
  <si>
    <t>Rad - Light</t>
  </si>
  <si>
    <t>('+' Light field edge &gt; Digital setting)</t>
  </si>
  <si>
    <t>Light - Dig</t>
  </si>
  <si>
    <t>('+' Radiation field edge &gt; Digital setting)</t>
  </si>
  <si>
    <t>('+' Radiation  &gt; Light field edge)</t>
  </si>
  <si>
    <t>ACQUISITION/ANALYSIS: as per above except EPIs integrated 30MU</t>
  </si>
  <si>
    <t xml:space="preserve">ACQUISITION/ANALYSIS: as per above </t>
  </si>
  <si>
    <t>SETUP/ACQUISITION/ANALYSIS*: As per above</t>
  </si>
  <si>
    <t>6E</t>
  </si>
  <si>
    <t>9E</t>
  </si>
  <si>
    <t>12E</t>
  </si>
  <si>
    <t>16E</t>
  </si>
  <si>
    <t>20E</t>
  </si>
  <si>
    <t>SETUP/ACQUISITION: As per above</t>
  </si>
  <si>
    <t>MKS#4</t>
  </si>
  <si>
    <t>MKSadv</t>
  </si>
  <si>
    <r>
      <rPr>
        <b/>
        <sz val="10"/>
        <rFont val="Arial"/>
        <family val="2"/>
      </rPr>
      <t>SETUP:</t>
    </r>
    <r>
      <rPr>
        <sz val="10"/>
        <rFont val="Arial"/>
        <family val="2"/>
      </rPr>
      <t xml:space="preserve"> Gantry 0°, Collimator 0°, Couch 0°, Farmer chamber in solid water with axis aligned to mechanical crosshair  and perpendicular to couch LNG, </t>
    </r>
  </si>
  <si>
    <r>
      <t xml:space="preserve">SETUP: As per above except </t>
    </r>
    <r>
      <rPr>
        <b/>
        <sz val="10"/>
        <color indexed="10"/>
        <rFont val="Arial"/>
        <family val="2"/>
      </rPr>
      <t>GO INTO ROOM AND MOVE COUCH LNG to ~25cm</t>
    </r>
    <r>
      <rPr>
        <sz val="10"/>
        <color indexed="10"/>
        <rFont val="Arial"/>
        <family val="2"/>
      </rPr>
      <t xml:space="preserve">; </t>
    </r>
    <r>
      <rPr>
        <sz val="10"/>
        <rFont val="Arial"/>
        <family val="2"/>
      </rPr>
      <t>specified jaw/collimator settings (see Table)</t>
    </r>
  </si>
  <si>
    <t>* Current tolerance values are tentative; If picket fence fails, append details from Portal QA to report</t>
  </si>
  <si>
    <t>NOT DONE</t>
  </si>
  <si>
    <t>VRT</t>
  </si>
  <si>
    <t>LNG</t>
  </si>
  <si>
    <t>LAT</t>
  </si>
  <si>
    <t>Δ (cm)</t>
  </si>
  <si>
    <t>Couch Coordinates AFTER Move (cm):</t>
  </si>
  <si>
    <t>Suggested Couch Moves (cm):</t>
  </si>
  <si>
    <r>
      <t xml:space="preserve">KV Planar Pair </t>
    </r>
    <r>
      <rPr>
        <b/>
        <i/>
        <sz val="10"/>
        <color indexed="10"/>
        <rFont val="Arial"/>
        <family val="2"/>
      </rPr>
      <t>(manual registration)</t>
    </r>
  </si>
  <si>
    <r>
      <t xml:space="preserve">MV Planar GA 90° </t>
    </r>
    <r>
      <rPr>
        <b/>
        <i/>
        <sz val="10"/>
        <color indexed="10"/>
        <rFont val="Arial"/>
        <family val="2"/>
      </rPr>
      <t>(manual registration)</t>
    </r>
  </si>
  <si>
    <r>
      <t xml:space="preserve">MV Planar GA 0° </t>
    </r>
    <r>
      <rPr>
        <b/>
        <i/>
        <sz val="10"/>
        <color indexed="10"/>
        <rFont val="Arial"/>
        <family val="2"/>
      </rPr>
      <t>(manual registration)</t>
    </r>
  </si>
  <si>
    <t>SETUP: Position RPM phantom on couch with 4-dot marker approximately aligned to isocentre. Activate phantom motion.</t>
  </si>
  <si>
    <t>Gated Residual Motion (cm):</t>
  </si>
  <si>
    <t>Total Patient Motion (cm):</t>
  </si>
  <si>
    <t>Total Cycle Period (s):</t>
  </si>
  <si>
    <t>Time Delay:</t>
  </si>
  <si>
    <t>Beam On:</t>
  </si>
  <si>
    <t>Total Beam On Time (min):</t>
  </si>
  <si>
    <t>(functional, beam on only between defined threshold levels)</t>
  </si>
  <si>
    <t>Coverage</t>
  </si>
  <si>
    <t>Settings</t>
  </si>
  <si>
    <t>kV Readout</t>
  </si>
  <si>
    <t>SETUP: as per above EXCEPT remove Las Vegas phantom</t>
  </si>
  <si>
    <t>ACQUISITION: Perform all tests for specified DICOMRT file.</t>
  </si>
  <si>
    <t xml:space="preserve">CBCT </t>
  </si>
  <si>
    <t>Protocol</t>
  </si>
  <si>
    <t>Spotlight</t>
  </si>
  <si>
    <t>Thorax</t>
  </si>
  <si>
    <t>Fan Type</t>
  </si>
  <si>
    <t>Full</t>
  </si>
  <si>
    <t>Half</t>
  </si>
  <si>
    <t>Trajectory</t>
  </si>
  <si>
    <t>IQ</t>
  </si>
  <si>
    <t>(functional, set time delay from lower threshold to beam on)</t>
  </si>
  <si>
    <t>Average</t>
  </si>
  <si>
    <t>VMAT</t>
  </si>
  <si>
    <t>Gantry Angle:</t>
  </si>
  <si>
    <t>Picket Fence CAX Offset (relative to workstation display grid)</t>
  </si>
  <si>
    <t>mAs</t>
  </si>
  <si>
    <t>Unidos E5</t>
  </si>
  <si>
    <t>guestimate</t>
  </si>
  <si>
    <t>0980</t>
  </si>
  <si>
    <t>Focal Spot</t>
  </si>
  <si>
    <t>Small</t>
  </si>
  <si>
    <t>Head*</t>
  </si>
  <si>
    <t>Junction Distance (mm):</t>
  </si>
  <si>
    <t>Junction Peaks:</t>
  </si>
  <si>
    <t>qualitative</t>
  </si>
  <si>
    <t>p/f</t>
  </si>
  <si>
    <t>Overall:</t>
  </si>
  <si>
    <t>Tolerances</t>
  </si>
  <si>
    <t>(kVp, mAs)</t>
  </si>
  <si>
    <t>Exp. Values</t>
  </si>
  <si>
    <t>(kVp)</t>
  </si>
  <si>
    <t>kVp, mAs</t>
  </si>
  <si>
    <t>Version Documentation</t>
  </si>
  <si>
    <t>v. 1.100</t>
  </si>
  <si>
    <t>Version</t>
  </si>
  <si>
    <t>Date</t>
  </si>
  <si>
    <t>This spreadsheet was the final iteration of the original excel worksheet used for monthly QA of Varian c-series machines (CL6, CL21EX)</t>
  </si>
  <si>
    <t>v. 2.100</t>
  </si>
  <si>
    <t>The original version of monthly QA worksheet for Varian Truebeam (v1.6) machines</t>
  </si>
  <si>
    <t>Author</t>
  </si>
  <si>
    <t>DMWells</t>
  </si>
  <si>
    <r>
      <t>T</t>
    </r>
    <r>
      <rPr>
        <b/>
        <vertAlign val="subscript"/>
        <sz val="12"/>
        <rFont val="Arial"/>
        <family val="2"/>
      </rPr>
      <t>probe</t>
    </r>
    <r>
      <rPr>
        <b/>
        <sz val="12"/>
        <rFont val="Arial"/>
        <family val="2"/>
      </rPr>
      <t>:</t>
    </r>
  </si>
  <si>
    <r>
      <t>P</t>
    </r>
    <r>
      <rPr>
        <b/>
        <vertAlign val="subscript"/>
        <sz val="12"/>
        <rFont val="Arial"/>
        <family val="2"/>
      </rPr>
      <t>corr</t>
    </r>
    <r>
      <rPr>
        <b/>
        <sz val="12"/>
        <rFont val="Arial"/>
        <family val="2"/>
      </rPr>
      <t>:</t>
    </r>
  </si>
  <si>
    <r>
      <t>(</t>
    </r>
    <r>
      <rPr>
        <sz val="10"/>
        <rFont val="Calibri"/>
        <family val="2"/>
      </rPr>
      <t>µ</t>
    </r>
    <r>
      <rPr>
        <sz val="10"/>
        <rFont val="Arial"/>
        <family val="2"/>
      </rPr>
      <t>Gy)</t>
    </r>
  </si>
  <si>
    <t>(µGy)</t>
  </si>
  <si>
    <t>Rdg</t>
  </si>
  <si>
    <t>Unidos electrometer (-300V, med); CTP correction; Nd-ratio correction; rotate gantry to 180° CW.</t>
  </si>
  <si>
    <t>v. 2.101</t>
  </si>
  <si>
    <t>CBCT dose measurement procedure changed from CTDI type measurement to a Farmer chamber measuremnt in SW</t>
  </si>
  <si>
    <t>CBCT Reference O/P Values</t>
  </si>
  <si>
    <t>Bowtie Filter</t>
  </si>
  <si>
    <t>kV</t>
  </si>
  <si>
    <t>nC</t>
  </si>
  <si>
    <t>Head</t>
  </si>
  <si>
    <r>
      <t>C</t>
    </r>
    <r>
      <rPr>
        <b/>
        <vertAlign val="subscript"/>
        <sz val="12"/>
        <rFont val="Arial"/>
        <family val="2"/>
      </rPr>
      <t>TP</t>
    </r>
    <r>
      <rPr>
        <b/>
        <sz val="12"/>
        <rFont val="Arial"/>
        <family val="2"/>
      </rPr>
      <t>:</t>
    </r>
  </si>
  <si>
    <t>Absolute Couch Coordinates for Registration Phantom Aligned to Isocentre</t>
  </si>
  <si>
    <t>ANG</t>
  </si>
  <si>
    <t>2. X-RAY OUTPUTS</t>
  </si>
  <si>
    <t>3. ELECTRON OUTPUTS</t>
  </si>
  <si>
    <t>At console, select "Create a new tracking protocol by importing RPM data" from the file ID: viPhysicsQA; select 6-dot marker reference session;</t>
  </si>
  <si>
    <r>
      <t xml:space="preserve">SETUP/ACQUISITION: As per above except position </t>
    </r>
    <r>
      <rPr>
        <b/>
        <sz val="10"/>
        <rFont val="Arial"/>
        <family val="2"/>
      </rPr>
      <t>PTW Diavolt Multimeter</t>
    </r>
    <r>
      <rPr>
        <sz val="10"/>
        <rFont val="Arial"/>
        <family val="2"/>
      </rPr>
      <t xml:space="preserve"> on KVD cover aligned ~ isocentre;</t>
    </r>
  </si>
  <si>
    <t>ANALYSIS: Use PipsPro software or in-house MATLAB code for image quality analysis</t>
  </si>
  <si>
    <r>
      <t xml:space="preserve">ACQUISITION: Use </t>
    </r>
    <r>
      <rPr>
        <b/>
        <sz val="10"/>
        <color indexed="10"/>
        <rFont val="Arial"/>
        <family val="2"/>
      </rPr>
      <t>TREATMENT</t>
    </r>
    <r>
      <rPr>
        <sz val="10"/>
        <rFont val="Arial"/>
        <family val="2"/>
      </rPr>
      <t xml:space="preserve"> mode, file directory: Shared drive\PHYSICS\MachineID\QA\Monthly QA. </t>
    </r>
  </si>
  <si>
    <r>
      <t xml:space="preserve">ACQUISITION: Use </t>
    </r>
    <r>
      <rPr>
        <b/>
        <sz val="10"/>
        <color indexed="10"/>
        <rFont val="Arial"/>
        <family val="2"/>
      </rPr>
      <t>TREATMENT</t>
    </r>
    <r>
      <rPr>
        <sz val="10"/>
        <rFont val="Arial"/>
        <family val="2"/>
      </rPr>
      <t xml:space="preserve"> mode, Select Options --&gt; File Mode, file directory: Shared drive\PHYSICS\MachineID\QA\Monthly QA.</t>
    </r>
  </si>
  <si>
    <r>
      <t xml:space="preserve">ACQUISITION: Use </t>
    </r>
    <r>
      <rPr>
        <b/>
        <sz val="10"/>
        <color indexed="10"/>
        <rFont val="Arial"/>
        <family val="2"/>
      </rPr>
      <t>TREATMENT</t>
    </r>
    <r>
      <rPr>
        <sz val="10"/>
        <rFont val="Arial"/>
        <family val="2"/>
      </rPr>
      <t xml:space="preserve"> mode, Select Options --&gt; File Mode, file directory: Shared drive\PHYSICS\MachineID\QA\Monthly QA.</t>
    </r>
  </si>
  <si>
    <t>f30</t>
  </si>
  <si>
    <t>CNR</t>
  </si>
  <si>
    <r>
      <t xml:space="preserve">SETUP/ACQUISITION: As per above except position </t>
    </r>
    <r>
      <rPr>
        <b/>
        <sz val="10"/>
        <rFont val="Arial"/>
        <family val="2"/>
      </rPr>
      <t>PipsPro KV phantom</t>
    </r>
    <r>
      <rPr>
        <sz val="10"/>
        <rFont val="Arial"/>
        <family val="2"/>
      </rPr>
      <t xml:space="preserve"> on KVD cover aligned ~ isocentre</t>
    </r>
  </si>
  <si>
    <t>SETUP: Align front dots on CATPHAN504 phantom with laser isocentre then move couch LNG 7cm to align lasers with 3rd dot on top of phantom</t>
  </si>
  <si>
    <t>Acquire CBCT image set using the specified Head protocol.</t>
  </si>
  <si>
    <t>Signal</t>
  </si>
  <si>
    <t>Noise</t>
  </si>
  <si>
    <t>ROI Δmax(%)</t>
  </si>
  <si>
    <t>Note: banding, ghosting, crystal defects noticeable but not clinically significant</t>
  </si>
  <si>
    <t>Grid Offset X (mm):</t>
  </si>
  <si>
    <t>Grid Offset Y (mm):</t>
  </si>
  <si>
    <r>
      <t xml:space="preserve">ACQUISITION: Use </t>
    </r>
    <r>
      <rPr>
        <b/>
        <sz val="10"/>
        <color indexed="10"/>
        <rFont val="Arial"/>
        <family val="2"/>
      </rPr>
      <t>TREATMENT</t>
    </r>
    <r>
      <rPr>
        <sz val="10"/>
        <rFont val="Arial"/>
        <family val="2"/>
      </rPr>
      <t xml:space="preserve"> mode, file directory: Shared drive\PHYSICS\MachineID\QA\Monthly QA.</t>
    </r>
  </si>
  <si>
    <t>Ref (mm)</t>
  </si>
  <si>
    <t>Tol. (mm)</t>
  </si>
  <si>
    <t>CT# (HU)</t>
  </si>
  <si>
    <t>Ref (HU)</t>
  </si>
  <si>
    <t>Tol. (HU)</t>
  </si>
  <si>
    <t>Delrin</t>
  </si>
  <si>
    <t>Air</t>
  </si>
  <si>
    <t>LDPE</t>
  </si>
  <si>
    <t>Teflon</t>
  </si>
  <si>
    <t>min</t>
  </si>
  <si>
    <t>max</t>
  </si>
  <si>
    <t>Δ (HU)</t>
  </si>
  <si>
    <t>Signal (CT#) in 5 Regions</t>
  </si>
  <si>
    <t>Noise (SD) in 5 Regions</t>
  </si>
  <si>
    <t>** fin fin fin **</t>
  </si>
  <si>
    <t>Comments/Artefacts</t>
  </si>
  <si>
    <t>v. 2.102</t>
  </si>
  <si>
    <t>CATPHAN Image Analysis section added, kV/MV PipsPro section added</t>
  </si>
  <si>
    <t>ACTIVE</t>
  </si>
  <si>
    <t>Completion Date (dd-mmm-yyyy):</t>
  </si>
  <si>
    <t>Added QM deleted MP to physicist list</t>
  </si>
  <si>
    <t>Added Fc factors, couch coords for VICEDAR_TB4</t>
  </si>
  <si>
    <t>PTW#7</t>
  </si>
  <si>
    <t>2525</t>
  </si>
  <si>
    <t>v. 2.103</t>
  </si>
  <si>
    <t>Updated Nd values (based on 12-Nov-2014 NRC calibration of PTW#7) --&gt; rel Nd factors changed, changed Fc factors for Cedar</t>
  </si>
  <si>
    <t>v. 2.104</t>
  </si>
  <si>
    <t>MV PipsPro CNR ref value changed from 600 to 150 (new PipsPro v5.0 software and analysis); MV noise ref value changed from 50 to 75%; Planar kV and CBCT measurement frequency changed to once every 3 months; Teflon HU ref value changed from 950 to 990.</t>
  </si>
  <si>
    <r>
      <t>Rdg</t>
    </r>
    <r>
      <rPr>
        <b/>
        <vertAlign val="subscript"/>
        <sz val="10"/>
        <rFont val="Arial"/>
        <family val="2"/>
      </rPr>
      <t>corr</t>
    </r>
  </si>
  <si>
    <t>SETUP: Gantry 90°, Couch LNG 25cm, KVD VRT=LAT=LNG=0.0cm</t>
  </si>
  <si>
    <t>ANALYSIS: Record blade settings, evaluate radiation coverage of detector array using console display tools, check for any artifacts</t>
  </si>
  <si>
    <t>Prostate (loMod)</t>
  </si>
  <si>
    <t>H&amp;N (HiMod)</t>
  </si>
  <si>
    <t>MLC Model</t>
  </si>
  <si>
    <t>Millenium</t>
  </si>
  <si>
    <t>HD120</t>
  </si>
  <si>
    <t>2.1 X-ray Output Constancy (100MU)</t>
  </si>
  <si>
    <t>1Photon_OP.dcm</t>
  </si>
  <si>
    <t>2.2 EDW Factor (100MU)</t>
  </si>
  <si>
    <t>2.3 dMLC Factor</t>
  </si>
  <si>
    <t>H&amp;N (Hi Mod)</t>
  </si>
  <si>
    <t>2.4 VMAT Factor</t>
  </si>
  <si>
    <t>2.6 TMR (100MU)</t>
  </si>
  <si>
    <t>2.5 dMLC Invalid Sequence</t>
  </si>
  <si>
    <t xml:space="preserve"> 5Photon_Dmax.dcm</t>
  </si>
  <si>
    <t xml:space="preserve"> 12CBCT.dcm</t>
  </si>
  <si>
    <r>
      <t xml:space="preserve">3.1 Electron Output Constancy </t>
    </r>
    <r>
      <rPr>
        <sz val="10"/>
        <rFont val="Arial"/>
        <family val="2"/>
      </rPr>
      <t>(100MU)</t>
    </r>
  </si>
  <si>
    <t xml:space="preserve"> 6Electron_OP.dcm</t>
  </si>
  <si>
    <t>9Registration.dcm</t>
  </si>
  <si>
    <t>10RPM.dcm</t>
  </si>
  <si>
    <t>11KVPlanar.dcm</t>
  </si>
  <si>
    <t>12CBCT.dcm</t>
  </si>
  <si>
    <t>min Distance (mm)</t>
  </si>
  <si>
    <t>max Distance (mm)</t>
  </si>
  <si>
    <t>Delrin-LDPE</t>
  </si>
  <si>
    <t>Ref</t>
  </si>
  <si>
    <t>Noise (SD)</t>
  </si>
  <si>
    <t>Tol (%)</t>
  </si>
  <si>
    <t>avg Slice Width (mm)</t>
  </si>
  <si>
    <t>ANALYSIS: Measure distances from digital field edge to radiation field edge using console display tools. Checks blade and detector positioning accuracy.</t>
  </si>
  <si>
    <t>ACQUISITION: as per above</t>
  </si>
  <si>
    <t>SETUP: as per above</t>
  </si>
  <si>
    <r>
      <t xml:space="preserve">Select Beam Preview button on console, turn </t>
    </r>
    <r>
      <rPr>
        <b/>
        <sz val="10"/>
        <rFont val="Arial"/>
        <family val="2"/>
      </rPr>
      <t>Blade Tracking OFF</t>
    </r>
    <r>
      <rPr>
        <sz val="10"/>
        <rFont val="Arial"/>
        <family val="2"/>
      </rPr>
      <t>, adjust blade positions to: x1=x2=y1=y2=10.0cm. Acquire KV planar image</t>
    </r>
  </si>
  <si>
    <t>Filter</t>
  </si>
  <si>
    <t>None</t>
  </si>
  <si>
    <t>(lp/mm)</t>
  </si>
  <si>
    <t>f10</t>
  </si>
  <si>
    <t>Ref f30</t>
  </si>
  <si>
    <t>Ref f10</t>
  </si>
  <si>
    <t>Ref CNR</t>
  </si>
  <si>
    <t>Titanium</t>
  </si>
  <si>
    <t>Updated DCM files to include HD_MLC; modified KV planar and CBCT analysis parameters</t>
  </si>
  <si>
    <t>TPR2.5</t>
  </si>
  <si>
    <t>nom. dmax</t>
  </si>
  <si>
    <t>(performed once every 3 months)</t>
  </si>
  <si>
    <r>
      <t>Δ</t>
    </r>
    <r>
      <rPr>
        <vertAlign val="subscript"/>
        <sz val="12"/>
        <rFont val="Arial"/>
        <family val="2"/>
      </rPr>
      <t>max</t>
    </r>
    <r>
      <rPr>
        <sz val="12"/>
        <rFont val="Arial"/>
        <family val="2"/>
      </rPr>
      <t xml:space="preserve"> </t>
    </r>
    <r>
      <rPr>
        <sz val="10"/>
        <rFont val="Arial"/>
        <family val="2"/>
      </rPr>
      <t>(%)</t>
    </r>
  </si>
  <si>
    <t>Tolerance (%)</t>
  </si>
  <si>
    <t>VMAT 6X DR/GA Speed:</t>
  </si>
  <si>
    <t>VMAT 6X DR/MLC Speed:</t>
  </si>
  <si>
    <t>VMAT 10Xfff DR/GA Speed:</t>
  </si>
  <si>
    <t>ANALYSIS: For Picket fence tests, select field and use WKS tools (ruler, grid for evaluation); otherwise, use PortalQA</t>
  </si>
  <si>
    <r>
      <t xml:space="preserve">KV Marker Match </t>
    </r>
    <r>
      <rPr>
        <b/>
        <i/>
        <sz val="10"/>
        <color indexed="10"/>
        <rFont val="Arial"/>
        <family val="2"/>
      </rPr>
      <t>(manual registration)</t>
    </r>
  </si>
  <si>
    <t>* n.b. Cycle period may be dependent on phantom battery charge</t>
  </si>
  <si>
    <t>60, 1.0</t>
  </si>
  <si>
    <t>Mode</t>
  </si>
  <si>
    <t>Dual Image</t>
  </si>
  <si>
    <t>Single Image/Flood</t>
  </si>
  <si>
    <t>30 MU</t>
  </si>
  <si>
    <t>f30 (lp/mm)</t>
  </si>
  <si>
    <t>f10 (lp/mm)</t>
  </si>
  <si>
    <t>6 MV</t>
  </si>
  <si>
    <t>60 kV</t>
  </si>
  <si>
    <t>Acquisition</t>
  </si>
  <si>
    <t>Integrated</t>
  </si>
  <si>
    <t>1.0 mAs</t>
  </si>
  <si>
    <t>std</t>
  </si>
  <si>
    <t>none</t>
  </si>
  <si>
    <t>PipsPro Phantom Reference Image Quality Metrics</t>
  </si>
  <si>
    <r>
      <t>Acquire CBCT using Head protocol (</t>
    </r>
    <r>
      <rPr>
        <b/>
        <sz val="10"/>
        <rFont val="Arial"/>
        <family val="2"/>
      </rPr>
      <t>Mode: Head, Fan Type: Full, Trajectory: Half</t>
    </r>
    <r>
      <rPr>
        <sz val="10"/>
        <rFont val="Arial"/>
        <family val="2"/>
      </rPr>
      <t xml:space="preserve">), default mAs, perform auto-3D registration and </t>
    </r>
    <r>
      <rPr>
        <b/>
        <sz val="10"/>
        <rFont val="Arial"/>
        <family val="2"/>
      </rPr>
      <t>move</t>
    </r>
    <r>
      <rPr>
        <sz val="10"/>
        <rFont val="Arial"/>
        <family val="2"/>
      </rPr>
      <t xml:space="preserve"> couch.</t>
    </r>
  </si>
  <si>
    <t>SETUP: As per above except MLC-defined field size 20x20cm</t>
  </si>
  <si>
    <t>2.7 KV CBCT Dose Index</t>
  </si>
  <si>
    <r>
      <rPr>
        <b/>
        <sz val="10"/>
        <rFont val="Arial"/>
        <family val="2"/>
      </rPr>
      <t>SETUP:</t>
    </r>
    <r>
      <rPr>
        <sz val="10"/>
        <rFont val="Arial"/>
        <family val="2"/>
      </rPr>
      <t xml:space="preserve"> As per above except depth nominal dmax</t>
    </r>
  </si>
  <si>
    <t>TMR ref values changed to nom dmax=2.5cm for all photon energies; MV/KV Pipspro IQ reference values updated; MV is now dual image analysis for all machines; MKS#2 repaired and new Nd-value.</t>
  </si>
  <si>
    <t>Tol. (%)</t>
  </si>
  <si>
    <t>Ref (lp/mm)</t>
  </si>
  <si>
    <t>Bug fixed; electron energies weren't being correctly copied to Monthly_OP spreadsheet (problem has been occurring since v2.200)</t>
  </si>
  <si>
    <t>Use 3D auto-registration for CBCT protocol and manual registrations for all KV and MV planar images. If auto-registration fails, use manual.</t>
  </si>
  <si>
    <r>
      <t xml:space="preserve">SETUP: </t>
    </r>
    <r>
      <rPr>
        <sz val="10"/>
        <rFont val="Arial"/>
        <family val="2"/>
      </rPr>
      <t>Gantry 0</t>
    </r>
    <r>
      <rPr>
        <sz val="10"/>
        <rFont val="Calibri"/>
        <family val="2"/>
      </rPr>
      <t>°</t>
    </r>
    <r>
      <rPr>
        <sz val="10"/>
        <rFont val="Arial"/>
        <family val="2"/>
      </rPr>
      <t xml:space="preserve">, Position indexed registration phantom at couch location H3 and move couch to VRT 10.0, LNG 82.0, LAT 1.0, ROT 0.0. </t>
    </r>
  </si>
  <si>
    <t>4. MVD MEASUREMENTS</t>
  </si>
  <si>
    <t>4.1 Light-Radiation Coincidence, Jaw-defined</t>
  </si>
  <si>
    <t>4.2 Light-Radiation Coincidence, MLC-defined</t>
  </si>
  <si>
    <t>4.3 Radiation Field Edge Alignment @CAX</t>
  </si>
  <si>
    <t>4.4 MV Image Uniformity</t>
  </si>
  <si>
    <t>4.5. Picket Fence</t>
  </si>
  <si>
    <t>4.6 5MM Sliding Window</t>
  </si>
  <si>
    <t>4.7 Friction @ Maximum Leaf Speed</t>
  </si>
  <si>
    <t>4.8 PipsPro MV</t>
  </si>
  <si>
    <t>4.9 VMAT Mechanical Tests</t>
  </si>
  <si>
    <t>5. REGISTRATION</t>
  </si>
  <si>
    <t>5.1. Registration using Varian Cube Phantom</t>
  </si>
  <si>
    <t>6. MOTION MANAGEMENT</t>
  </si>
  <si>
    <t>6.1. RPM System</t>
  </si>
  <si>
    <t>7.1 Blade Tracking/Flood Field Artefacts</t>
  </si>
  <si>
    <t>7.2 Field Size Accuracy</t>
  </si>
  <si>
    <t>7.3 Image Quality - PipsPro KV</t>
  </si>
  <si>
    <t>7.4 kVp Accuracy/Dose</t>
  </si>
  <si>
    <t>8.1 kV CBCT Image Quality</t>
  </si>
  <si>
    <t>8.2 Geometry</t>
  </si>
  <si>
    <t>8.3 CT Number Accuracy - Sensitometry</t>
  </si>
  <si>
    <t>8.4 High Contrast Resolution (rel. MTF)</t>
  </si>
  <si>
    <t>8.5 Uniformity</t>
  </si>
  <si>
    <t>8.6 Contrast-to-Noise Ratio (CNR)</t>
  </si>
  <si>
    <t>REVIEWED</t>
  </si>
  <si>
    <t>*** Tests to be performed once every 3 months ***</t>
  </si>
  <si>
    <t>8. CBCT MEASUREMENTS</t>
  </si>
  <si>
    <t>7. PLANAR KV MEASUREMENTS</t>
  </si>
  <si>
    <t>OBI Tests Performed:</t>
  </si>
  <si>
    <t>ACTION Items/WATCH Items/General Comments:</t>
  </si>
  <si>
    <t>SETUP/ACQUISITION/ANALYSIS: As per above. For analysis, use second image (less ghosting artifact present)</t>
  </si>
  <si>
    <t>0.5 mAs</t>
  </si>
  <si>
    <t>60, 0.5</t>
  </si>
  <si>
    <t>75, 0.5</t>
  </si>
  <si>
    <t>125, 0.5</t>
  </si>
  <si>
    <t>Checkbox utility functional; Imager calibration removed; new ref values for all tracked MLC leaf sequences - tolerance for VMAT increased to 3%; new ref values for all CBCT outputs; updated Nd values for farmer chambers; Fc based on average across all machines; new ref values for KV planar because mAs changed from 0.1 to 0.5</t>
  </si>
  <si>
    <t>Personnel</t>
  </si>
  <si>
    <t>Status1</t>
  </si>
  <si>
    <t>Status2</t>
  </si>
  <si>
    <t>Status3</t>
  </si>
  <si>
    <t>Status4</t>
  </si>
  <si>
    <t>NOT REVIEWED</t>
  </si>
  <si>
    <t>Manufacturer</t>
  </si>
  <si>
    <t>Serial No.</t>
  </si>
  <si>
    <t>Commission Date</t>
  </si>
  <si>
    <t>Varian</t>
  </si>
  <si>
    <r>
      <t>N</t>
    </r>
    <r>
      <rPr>
        <b/>
        <vertAlign val="subscript"/>
        <sz val="10"/>
        <color indexed="10"/>
        <rFont val="Arial"/>
        <family val="2"/>
      </rPr>
      <t>d</t>
    </r>
  </si>
  <si>
    <r>
      <t>P</t>
    </r>
    <r>
      <rPr>
        <b/>
        <vertAlign val="subscript"/>
        <sz val="10"/>
        <color indexed="10"/>
        <rFont val="Arial"/>
        <family val="2"/>
      </rPr>
      <t>elec</t>
    </r>
  </si>
  <si>
    <t>Comments (Missing/Incomplete Records)</t>
  </si>
  <si>
    <r>
      <t xml:space="preserve">Result Status: PASS - No action required; </t>
    </r>
    <r>
      <rPr>
        <b/>
        <sz val="10"/>
        <color indexed="52"/>
        <rFont val="Arial"/>
        <family val="2"/>
      </rPr>
      <t>MARGINAL</t>
    </r>
    <r>
      <rPr>
        <b/>
        <sz val="10"/>
        <rFont val="Arial"/>
        <family val="2"/>
      </rPr>
      <t xml:space="preserve"> - Action may be required; </t>
    </r>
    <r>
      <rPr>
        <b/>
        <sz val="10"/>
        <color indexed="10"/>
        <rFont val="Arial"/>
        <family val="2"/>
      </rPr>
      <t>FAIL</t>
    </r>
    <r>
      <rPr>
        <b/>
        <sz val="10"/>
        <rFont val="Arial"/>
        <family val="2"/>
      </rPr>
      <t xml:space="preserve"> - Immediate action required</t>
    </r>
  </si>
  <si>
    <t>Accept patient data; Initiate tracking by pressing Start/Stop respiratory tracking icon; Deliver gated treatment. Result status: Pass or Fail.</t>
  </si>
  <si>
    <t>Note: This flood field image should be used in PipsPro analysis. Result Status: Pass or Fail.</t>
  </si>
  <si>
    <t>PTW Diavolt Dose</t>
  </si>
  <si>
    <r>
      <t>Dose (</t>
    </r>
    <r>
      <rPr>
        <b/>
        <sz val="10"/>
        <rFont val="Calibri"/>
        <family val="2"/>
      </rPr>
      <t>µ</t>
    </r>
    <r>
      <rPr>
        <b/>
        <sz val="10"/>
        <rFont val="Arial"/>
        <family val="2"/>
      </rPr>
      <t>Gy)</t>
    </r>
  </si>
  <si>
    <t>CBCT</t>
  </si>
  <si>
    <t>Three-tier action level implemented (Pass, Marginal, Fail); Data section created</t>
  </si>
  <si>
    <t>Pelvis Obese</t>
  </si>
  <si>
    <t>100, 300</t>
  </si>
  <si>
    <t>125, 750</t>
  </si>
  <si>
    <t>125, 270</t>
  </si>
  <si>
    <t>140, 1687.5</t>
  </si>
  <si>
    <r>
      <t>Shared drive\PHYSICS\MachineID\QA\Monthly QA.  *</t>
    </r>
    <r>
      <rPr>
        <sz val="10"/>
        <color indexed="10"/>
        <rFont val="Arial"/>
        <family val="2"/>
      </rPr>
      <t xml:space="preserve"> For the Head protocol, position Gantry at GA180° CW prior to image acquisition.</t>
    </r>
  </si>
  <si>
    <r>
      <rPr>
        <b/>
        <sz val="10"/>
        <rFont val="Arial"/>
        <family val="2"/>
      </rPr>
      <t>ACQUISITION:</t>
    </r>
    <r>
      <rPr>
        <sz val="10"/>
        <rFont val="Arial"/>
        <family val="2"/>
      </rPr>
      <t xml:space="preserve"> Use </t>
    </r>
    <r>
      <rPr>
        <b/>
        <sz val="10"/>
        <color indexed="10"/>
        <rFont val="Arial"/>
        <family val="2"/>
      </rPr>
      <t xml:space="preserve">MACHINE QA </t>
    </r>
    <r>
      <rPr>
        <sz val="10"/>
        <rFont val="Arial"/>
        <family val="2"/>
      </rPr>
      <t>mode, file directory: Shared drive\PHYSICS\MachineID\QA\Monthly QA.</t>
    </r>
  </si>
  <si>
    <r>
      <rPr>
        <b/>
        <sz val="10"/>
        <rFont val="Arial"/>
        <family val="2"/>
      </rPr>
      <t>SETUP:</t>
    </r>
    <r>
      <rPr>
        <sz val="10"/>
        <rFont val="Arial"/>
        <family val="2"/>
      </rPr>
      <t xml:space="preserve"> As per above except Farmer chamber axis </t>
    </r>
    <r>
      <rPr>
        <b/>
        <sz val="10"/>
        <color indexed="10"/>
        <rFont val="Arial"/>
        <family val="2"/>
      </rPr>
      <t>parallel</t>
    </r>
    <r>
      <rPr>
        <sz val="10"/>
        <rFont val="Arial"/>
        <family val="2"/>
      </rPr>
      <t xml:space="preserve"> to couch LNG;  100 cm SAD, depth </t>
    </r>
    <r>
      <rPr>
        <b/>
        <sz val="10"/>
        <color indexed="10"/>
        <rFont val="Arial"/>
        <family val="2"/>
      </rPr>
      <t>1 cm</t>
    </r>
    <r>
      <rPr>
        <sz val="10"/>
        <rFont val="Arial"/>
        <family val="2"/>
      </rPr>
      <t>, backscatter 5 cm</t>
    </r>
  </si>
  <si>
    <r>
      <rPr>
        <b/>
        <sz val="10"/>
        <rFont val="Arial"/>
        <family val="2"/>
      </rPr>
      <t>ACQUISITION:</t>
    </r>
    <r>
      <rPr>
        <sz val="10"/>
        <rFont val="Arial"/>
        <family val="2"/>
      </rPr>
      <t xml:space="preserve"> Use </t>
    </r>
    <r>
      <rPr>
        <b/>
        <sz val="10"/>
        <color indexed="10"/>
        <rFont val="Arial"/>
        <family val="2"/>
      </rPr>
      <t xml:space="preserve">MACHINE QA or </t>
    </r>
    <r>
      <rPr>
        <sz val="10"/>
        <color indexed="10"/>
        <rFont val="Arial"/>
        <family val="2"/>
      </rPr>
      <t>T</t>
    </r>
    <r>
      <rPr>
        <b/>
        <sz val="10"/>
        <color indexed="10"/>
        <rFont val="Arial"/>
        <family val="2"/>
      </rPr>
      <t>REATMENT</t>
    </r>
    <r>
      <rPr>
        <sz val="10"/>
        <rFont val="Arial"/>
        <family val="2"/>
      </rPr>
      <t xml:space="preserve"> mode, Acquire CBCT image sets for specified protocols using </t>
    </r>
    <r>
      <rPr>
        <b/>
        <sz val="10"/>
        <rFont val="Arial"/>
        <family val="2"/>
      </rPr>
      <t xml:space="preserve">SPECIFIED </t>
    </r>
    <r>
      <rPr>
        <sz val="10"/>
        <rFont val="Arial"/>
        <family val="2"/>
      </rPr>
      <t>mAs.</t>
    </r>
  </si>
  <si>
    <r>
      <rPr>
        <b/>
        <sz val="10"/>
        <rFont val="Arial"/>
        <family val="2"/>
      </rPr>
      <t>SETUP:</t>
    </r>
    <r>
      <rPr>
        <sz val="10"/>
        <rFont val="Arial"/>
        <family val="2"/>
      </rPr>
      <t xml:space="preserve"> Gantry 0°, Collimator 0°, Couch 0° </t>
    </r>
    <r>
      <rPr>
        <sz val="10"/>
        <color indexed="10"/>
        <rFont val="Arial"/>
        <family val="2"/>
      </rPr>
      <t>(LNG ~ 100cm)</t>
    </r>
    <r>
      <rPr>
        <sz val="10"/>
        <rFont val="Arial"/>
        <family val="2"/>
      </rPr>
      <t>, grid on couch and aligned with mechanical crosshairs @100SSD(use frontpointer), FS 20x20cm</t>
    </r>
  </si>
  <si>
    <r>
      <rPr>
        <b/>
        <sz val="10"/>
        <rFont val="Arial"/>
        <family val="2"/>
      </rPr>
      <t>ANALYSIS:</t>
    </r>
    <r>
      <rPr>
        <sz val="10"/>
        <rFont val="Arial"/>
        <family val="2"/>
      </rPr>
      <t xml:space="preserve"> Use in-house software "PortalQA_TB"; Result status is either PASS or FAIL.</t>
    </r>
  </si>
  <si>
    <r>
      <rPr>
        <b/>
        <sz val="10"/>
        <rFont val="Arial"/>
        <family val="2"/>
      </rPr>
      <t>ACQUISITION:</t>
    </r>
    <r>
      <rPr>
        <sz val="10"/>
        <rFont val="Arial"/>
        <family val="2"/>
      </rPr>
      <t xml:space="preserve"> Use </t>
    </r>
    <r>
      <rPr>
        <b/>
        <sz val="10"/>
        <color indexed="10"/>
        <rFont val="Arial"/>
        <family val="2"/>
      </rPr>
      <t>MACHINE QA</t>
    </r>
    <r>
      <rPr>
        <b/>
        <sz val="10"/>
        <color indexed="10"/>
        <rFont val="Arial"/>
        <family val="2"/>
      </rPr>
      <t xml:space="preserve"> or TREATMENT</t>
    </r>
    <r>
      <rPr>
        <sz val="10"/>
        <rFont val="Arial"/>
        <family val="2"/>
      </rPr>
      <t xml:space="preserve"> mode, Shared drive\PHYSICS\MachineID\QA\Monthly QA, Acquire EPIs (high quality, single)</t>
    </r>
  </si>
  <si>
    <t>SETUP/ACQUSITION: Position phantom on MVD cover aligned with mechanical crosshairs; acquire 2 images</t>
  </si>
  <si>
    <t>Image ID</t>
  </si>
  <si>
    <r>
      <t xml:space="preserve">Head CBCT Protocol </t>
    </r>
    <r>
      <rPr>
        <b/>
        <i/>
        <sz val="10"/>
        <color indexed="10"/>
        <rFont val="Arial"/>
        <family val="2"/>
      </rPr>
      <t>(auto 3D registration and optionally, adjust manually)</t>
    </r>
  </si>
  <si>
    <r>
      <t>Validate phantom setup using Thorax CBCT with 5 cm z-offset, 2D-2D KV- and MV-paired, and kV Marker Match protocols (</t>
    </r>
    <r>
      <rPr>
        <b/>
        <sz val="10"/>
        <rFont val="Arial"/>
        <family val="2"/>
      </rPr>
      <t>DO NOT</t>
    </r>
    <r>
      <rPr>
        <sz val="10"/>
        <rFont val="Arial"/>
        <family val="2"/>
      </rPr>
      <t xml:space="preserve"> move couch). </t>
    </r>
  </si>
  <si>
    <r>
      <t xml:space="preserve">Thorax CBCT Protocol with 5 cm z-offset </t>
    </r>
    <r>
      <rPr>
        <b/>
        <i/>
        <sz val="10"/>
        <color indexed="10"/>
        <rFont val="Arial"/>
        <family val="2"/>
      </rPr>
      <t>(auto 3D registration)</t>
    </r>
  </si>
  <si>
    <r>
      <t xml:space="preserve">100, </t>
    </r>
    <r>
      <rPr>
        <b/>
        <sz val="10"/>
        <color indexed="10"/>
        <rFont val="Arial"/>
        <family val="2"/>
      </rPr>
      <t>1035</t>
    </r>
  </si>
  <si>
    <t>Updated CBCT ref dose values for TB2.0, added pelvis obese@140 kVp, changed personnel, added Image ID boxes; for registration Thorax CBCT now uses a 5 cm offset</t>
  </si>
  <si>
    <t>Updated Personnel</t>
  </si>
  <si>
    <t>Manuel Rodriguez Vega</t>
  </si>
  <si>
    <t>Report Approved by:</t>
  </si>
  <si>
    <t>Students</t>
  </si>
  <si>
    <t>Performed by:</t>
  </si>
  <si>
    <t>Added measurements "Performed by: " for each module to accommodate student participation in testing procedures</t>
  </si>
  <si>
    <t>(Note: field VMAT_cw is a mirror of VMAT_ccw for Rdg2)</t>
  </si>
  <si>
    <t>2.207a</t>
  </si>
  <si>
    <t>W.Ansbacher</t>
  </si>
  <si>
    <t>updated three PTW chamber factors and reverted PTW#6's Fc to the original 5.40</t>
  </si>
  <si>
    <t>Updated Couch coordinates for registration module(VRT 10.50cm, LNG 82.70cm, LAT 0.0cm) to be consistent w/morning QA; Arbutus results will now pass.</t>
  </si>
  <si>
    <r>
      <t>N</t>
    </r>
    <r>
      <rPr>
        <b/>
        <vertAlign val="subscript"/>
        <sz val="10"/>
        <rFont val="Arial"/>
        <family val="2"/>
      </rPr>
      <t>D</t>
    </r>
    <r>
      <rPr>
        <b/>
        <sz val="10"/>
        <rFont val="Arial"/>
        <family val="2"/>
      </rPr>
      <t>-Ratio:</t>
    </r>
  </si>
  <si>
    <r>
      <t>N</t>
    </r>
    <r>
      <rPr>
        <b/>
        <vertAlign val="subscript"/>
        <sz val="10"/>
        <color indexed="10"/>
        <rFont val="Arial"/>
        <family val="2"/>
      </rPr>
      <t>D</t>
    </r>
    <r>
      <rPr>
        <b/>
        <sz val="10"/>
        <color indexed="10"/>
        <rFont val="Arial"/>
        <family val="2"/>
      </rPr>
      <t>-Ratio</t>
    </r>
  </si>
  <si>
    <t>Machine Label</t>
  </si>
  <si>
    <t>Chamber</t>
  </si>
  <si>
    <t>Photon Solid Water Factor, Fc</t>
  </si>
  <si>
    <t>Electron Solid Water Factor, Fc</t>
  </si>
  <si>
    <t>Updated ND and Fc values based on measurements from March 2018. Fc values are now for the secondary standard chamber (PTW#7) and the Markus chamber (MKS#1). Also, updates to personnel and corporate logo.</t>
  </si>
  <si>
    <t>Model</t>
  </si>
  <si>
    <t>Truebeam</t>
  </si>
  <si>
    <t>Updated tolerances for RapidArc Tests to 4.5% for all tests (this value ~ 3 SD%)</t>
  </si>
  <si>
    <r>
      <rPr>
        <b/>
        <sz val="10"/>
        <rFont val="Arial"/>
        <family val="2"/>
      </rPr>
      <t>SETUP:</t>
    </r>
    <r>
      <rPr>
        <sz val="10"/>
        <rFont val="Arial"/>
        <family val="2"/>
      </rPr>
      <t xml:space="preserve"> Gantry 0</t>
    </r>
    <r>
      <rPr>
        <sz val="10"/>
        <rFont val="Calibri"/>
        <family val="2"/>
      </rPr>
      <t>°</t>
    </r>
    <r>
      <rPr>
        <sz val="10"/>
        <rFont val="Arial"/>
        <family val="2"/>
      </rPr>
      <t xml:space="preserve">, Collimator 0°, Couch 0°, SSD100 in solid water, </t>
    </r>
    <r>
      <rPr>
        <b/>
        <sz val="10"/>
        <rFont val="Arial"/>
        <family val="2"/>
      </rPr>
      <t xml:space="preserve">Depth (6E, </t>
    </r>
    <r>
      <rPr>
        <b/>
        <sz val="10"/>
        <color indexed="10"/>
        <rFont val="Arial"/>
        <family val="2"/>
      </rPr>
      <t>1.5cm</t>
    </r>
    <r>
      <rPr>
        <b/>
        <sz val="10"/>
        <rFont val="Arial"/>
        <family val="2"/>
      </rPr>
      <t xml:space="preserve">; 9-20E, </t>
    </r>
    <r>
      <rPr>
        <b/>
        <sz val="10"/>
        <color indexed="10"/>
        <rFont val="Arial"/>
        <family val="2"/>
      </rPr>
      <t>2.5cm</t>
    </r>
    <r>
      <rPr>
        <b/>
        <sz val="10"/>
        <rFont val="Arial"/>
        <family val="2"/>
      </rPr>
      <t>)</t>
    </r>
    <r>
      <rPr>
        <sz val="10"/>
        <rFont val="Arial"/>
        <family val="2"/>
      </rPr>
      <t>, Backscatter 5cm, Applicator A10 w/std insert</t>
    </r>
  </si>
  <si>
    <r>
      <t xml:space="preserve">             SAD100 in solid water, Depth </t>
    </r>
    <r>
      <rPr>
        <sz val="10"/>
        <color indexed="10"/>
        <rFont val="Arial"/>
        <family val="2"/>
      </rPr>
      <t>10cm</t>
    </r>
    <r>
      <rPr>
        <sz val="10"/>
        <rFont val="Arial"/>
        <family val="2"/>
      </rPr>
      <t>, Backscatter 5cm solid water slab, Field Size 10x10cm</t>
    </r>
  </si>
  <si>
    <t>X (%)</t>
  </si>
  <si>
    <t>10XFFF Open Fld Flatness:</t>
  </si>
  <si>
    <t>Y (%)</t>
  </si>
  <si>
    <t>n.b. test checks that 10XFFF calibrated at 150 cm SID</t>
  </si>
  <si>
    <t>Added 10XFFF open field flatness test to check MV imager calibrated at correct SID</t>
  </si>
  <si>
    <r>
      <rPr>
        <b/>
        <sz val="10"/>
        <rFont val="Arial"/>
        <family val="2"/>
      </rPr>
      <t>ACQUISITION:</t>
    </r>
    <r>
      <rPr>
        <sz val="10"/>
        <rFont val="Arial"/>
        <family val="2"/>
      </rPr>
      <t xml:space="preserve"> Use </t>
    </r>
    <r>
      <rPr>
        <b/>
        <sz val="10"/>
        <color indexed="10"/>
        <rFont val="Arial"/>
        <family val="2"/>
      </rPr>
      <t xml:space="preserve">MACHINE QA </t>
    </r>
    <r>
      <rPr>
        <sz val="10"/>
        <rFont val="Arial"/>
        <family val="2"/>
      </rPr>
      <t>mode, file directory: Shared drive\PHYSICS\MachineID\QA\Monthly QA.</t>
    </r>
  </si>
  <si>
    <t>(P/F)</t>
  </si>
  <si>
    <t>review these instructions at console and edit</t>
  </si>
  <si>
    <t>Large</t>
  </si>
  <si>
    <r>
      <rPr>
        <b/>
        <sz val="10"/>
        <rFont val="Arial"/>
        <family val="2"/>
      </rPr>
      <t>Physics QA Template (60 kVp or 60 kVp Sm FS, Ti filter)</t>
    </r>
    <r>
      <rPr>
        <sz val="10"/>
        <rFont val="Arial"/>
        <family val="2"/>
      </rPr>
      <t>, KV blades X1=X2=Y1=Y2=10.0cm</t>
    </r>
  </si>
  <si>
    <r>
      <t xml:space="preserve">Select </t>
    </r>
    <r>
      <rPr>
        <b/>
        <sz val="10"/>
        <rFont val="Arial"/>
        <family val="2"/>
      </rPr>
      <t xml:space="preserve">Physics QA Template </t>
    </r>
    <r>
      <rPr>
        <sz val="10"/>
        <rFont val="Arial"/>
        <family val="2"/>
      </rPr>
      <t>(</t>
    </r>
    <r>
      <rPr>
        <b/>
        <sz val="10"/>
        <rFont val="Arial"/>
        <family val="2"/>
      </rPr>
      <t xml:space="preserve">60 kVp - large focal spot, no filter) , with Blade Tracking ON </t>
    </r>
  </si>
  <si>
    <t>ANALYSIS: Use PipsPro Software and flood field acquired in section 7.1</t>
  </si>
  <si>
    <t>Lg FS</t>
  </si>
  <si>
    <t>Sm FS</t>
  </si>
  <si>
    <t>Mehran Goharian</t>
  </si>
  <si>
    <t>ANALYSIS: Visual inspection using e.g. Acquisition Workstation or PortalQA profile tool</t>
  </si>
  <si>
    <t>ANALYSIS: Use PipsPro v.5.4 Software.</t>
  </si>
  <si>
    <t>Comments (Image artefacts)</t>
  </si>
  <si>
    <r>
      <rPr>
        <b/>
        <sz val="10"/>
        <rFont val="Arial"/>
        <family val="2"/>
      </rPr>
      <t>Physics QA Template (75 kVp or 125 kVp)</t>
    </r>
    <r>
      <rPr>
        <sz val="10"/>
        <rFont val="Arial"/>
        <family val="2"/>
      </rPr>
      <t>; KV blades X1=X2=Y1=Y2=10.0cm; Diavolt settings: Application Rad/Flu, W 3.0 Al</t>
    </r>
  </si>
  <si>
    <t>Overall Machine Compliance:</t>
  </si>
  <si>
    <t>Output dB Updated:</t>
  </si>
  <si>
    <t>Output Trending database</t>
  </si>
  <si>
    <t>Clay Lindsay</t>
  </si>
  <si>
    <t>Changed ref values for 60kVp, sm focal spot, Ti filter planar image quality; Updated physics qa templates for kV planar acquisitions; separate DICOMRT files for 7EPI - now 7A_LITERAD, 7B_EPI. RPM pref period changed from 5.3 s to 5.1 s. Added Output Trending dB review check; fixed completion date cell assignment.</t>
  </si>
  <si>
    <t>Corrected NRC Nd value from 5.376 to 5.383 cGy/nC</t>
  </si>
  <si>
    <t>Fixed bug, not writing to MonthlyOP speadsheet correctly.</t>
  </si>
  <si>
    <t>Dominique Fortin</t>
  </si>
  <si>
    <t>xlsm</t>
  </si>
  <si>
    <t>Updated personnel</t>
  </si>
  <si>
    <t>Elena Timakova</t>
  </si>
  <si>
    <t>Conor Smith</t>
  </si>
  <si>
    <t>Matt Gwilliam</t>
  </si>
  <si>
    <t>Susan Dang</t>
  </si>
  <si>
    <t>Kyle Bromma</t>
  </si>
  <si>
    <t>Updated Nd for secondary standard chamber, personnel</t>
  </si>
  <si>
    <t>Lesley Baldwin</t>
  </si>
  <si>
    <t>Roja Zakariaee</t>
  </si>
  <si>
    <t>Olivia Masella</t>
  </si>
  <si>
    <t>4976</t>
  </si>
  <si>
    <t>1195</t>
  </si>
  <si>
    <t>4541</t>
  </si>
  <si>
    <t>6228</t>
  </si>
  <si>
    <t>1432</t>
  </si>
  <si>
    <t>OM - 2.1 all x-ray outputs are slightly marginal; 2.3 5mm tests failed/were marginal, same with H&amp;N test; 2.7 all measurements were high and marginal or failed; 7.2 Y2 failed, I used large focal spot however; ref values for CBCT may needed revision - dmw; electron o/ps inconsistent - should have been ~ 99.5</t>
  </si>
  <si>
    <t>e- results surprising; o/p calibration 8Jun23 not saved?</t>
  </si>
  <si>
    <t>unidose_s1_p_elec</t>
  </si>
  <si>
    <t>unidose_e2_p_elec</t>
  </si>
  <si>
    <t>unidose_e3_p_elec</t>
  </si>
  <si>
    <t>unidose_e4_p_elec</t>
  </si>
  <si>
    <t>unidose_e5_p_elec</t>
  </si>
  <si>
    <t>markus_1_nd</t>
  </si>
  <si>
    <t>markus_2_nd</t>
  </si>
  <si>
    <t>markus_4_nd</t>
  </si>
  <si>
    <t>markus_savd_nd</t>
  </si>
  <si>
    <t>ptw_7_nd</t>
  </si>
  <si>
    <t>ptw_2_nd</t>
  </si>
  <si>
    <t>ptw_3_nd</t>
  </si>
  <si>
    <t>ptw_4_nd</t>
  </si>
  <si>
    <t>ptw_5_nd</t>
  </si>
  <si>
    <t>ptw_6_nd</t>
  </si>
  <si>
    <t>viarbutus_tb2_photon_6x_fc</t>
  </si>
  <si>
    <t>viarbutus_tb2_photon_10x_fc</t>
  </si>
  <si>
    <t>viarbutus_tb2_photon_15x_fc</t>
  </si>
  <si>
    <t>viarbutus_tb2_photon_10xfff_fc</t>
  </si>
  <si>
    <t>vibirch_tb3_photon_6x_fc</t>
  </si>
  <si>
    <t>vibirch_tb3_photon_10x_fc</t>
  </si>
  <si>
    <t>vibirch_tb3_photon_15x_fc</t>
  </si>
  <si>
    <t>vibirch_tb3_photon_10xfff_fc</t>
  </si>
  <si>
    <t>vicedar_tb4_photon_6x_fc</t>
  </si>
  <si>
    <t>vicedar_tb4_photon_10x_fc</t>
  </si>
  <si>
    <t>vicedar_tb4_photon_15x_fc</t>
  </si>
  <si>
    <t>vicedar_tb4_photon_10xfff_fc</t>
  </si>
  <si>
    <t>vifir_tb1_photon_6x_fc</t>
  </si>
  <si>
    <t>vifir_tb1_photon_10x_fc</t>
  </si>
  <si>
    <t>vifir_tb1_photon_15x_fc</t>
  </si>
  <si>
    <t>vifir_tb1_photon_10xfff_fc</t>
  </si>
  <si>
    <t>vispruce_tb5_photon_6x_fc</t>
  </si>
  <si>
    <t>vispruce_tb5_photon_10x_fc</t>
  </si>
  <si>
    <t>vispruce_tb5_photon_15x_fc</t>
  </si>
  <si>
    <t>vispruce_tb5_photon_10xfff_fc</t>
  </si>
  <si>
    <t>vioak_tb6_photon_6x_fc</t>
  </si>
  <si>
    <t>vioak_tb6_photon_10x_fc</t>
  </si>
  <si>
    <t>vioak_tb6_photon_15x_fc</t>
  </si>
  <si>
    <t>vioak_tb6_photon_10xfff_fc</t>
  </si>
  <si>
    <t>viarbutus_tb2_electron_6e_fc</t>
  </si>
  <si>
    <t>viarbutus_tb2_electron_9e_fc</t>
  </si>
  <si>
    <t>viarbutus_tb2_electron_12e_fc</t>
  </si>
  <si>
    <t>viarbutus_tb2_electron_16e_fc</t>
  </si>
  <si>
    <t>viarbutus_tb2_electron_20e_fc</t>
  </si>
  <si>
    <t>vibirch_tb1_electron_6e_fc</t>
  </si>
  <si>
    <t>vibirch_tb1_electron_9e_fc</t>
  </si>
  <si>
    <t>vibirch_tb1_electron_12e_fc</t>
  </si>
  <si>
    <t>vibirch_tb1_electron_16e_fc</t>
  </si>
  <si>
    <t>vibirch_tb1_electron_20e_fc</t>
  </si>
  <si>
    <t>vifir_tb1_electron_6e_fc</t>
  </si>
  <si>
    <t>vifir_tb1_electron_9e_fc</t>
  </si>
  <si>
    <t>vifir_tb1_electron_12e_fc</t>
  </si>
  <si>
    <t>vifir_tb1_electron_16e_fc</t>
  </si>
  <si>
    <t>vifir_tb1_electron_20e_fc</t>
  </si>
  <si>
    <t>long</t>
  </si>
  <si>
    <t>short</t>
  </si>
  <si>
    <t>description</t>
  </si>
  <si>
    <t>track</t>
  </si>
  <si>
    <t>sheet</t>
  </si>
  <si>
    <t>type</t>
  </si>
  <si>
    <t>format</t>
  </si>
  <si>
    <t>calc</t>
  </si>
  <si>
    <t>category</t>
  </si>
  <si>
    <t>UNIDOSE S1</t>
  </si>
  <si>
    <t>UNIDOSE S1 Electrometer s/n 50095</t>
  </si>
  <si>
    <t>Data</t>
  </si>
  <si>
    <t>constant</t>
  </si>
  <si>
    <t>%0.3f</t>
  </si>
  <si>
    <t>UNIDOSE E2</t>
  </si>
  <si>
    <t>UNIDOSE E2 Electrometer s/n 0013</t>
  </si>
  <si>
    <t>UNIDOSE E3</t>
  </si>
  <si>
    <t>UNIDOSE E3 Electrometer s/n 0034</t>
  </si>
  <si>
    <t>UNIDOSE E4</t>
  </si>
  <si>
    <t>UNIDOSE E4 Electrometer s/n 0035</t>
  </si>
  <si>
    <t>UNIDOSE E5</t>
  </si>
  <si>
    <t>UNIDOSE E5 Electrometer s/n 0980</t>
  </si>
  <si>
    <t>Markus #1</t>
  </si>
  <si>
    <t>Markus Probe #1 s/n 1705</t>
  </si>
  <si>
    <t>Markus #2</t>
  </si>
  <si>
    <t>Markus Probe #2 s/n 0434</t>
  </si>
  <si>
    <t>Markus #4</t>
  </si>
  <si>
    <t>Markus Probe #4 s/n 4249</t>
  </si>
  <si>
    <t>Markus Savd</t>
  </si>
  <si>
    <t>Markus Savd Probe s/n 1305</t>
  </si>
  <si>
    <t>PTW Probe #7 s/n 2525</t>
  </si>
  <si>
    <t>PTW Probe #2 s/n 1905</t>
  </si>
  <si>
    <t>PTW Probe #3 s/n 2215</t>
  </si>
  <si>
    <t>PTW Probe #4 s/n 2216</t>
  </si>
  <si>
    <t>PTW Probe #5 s/n 2217</t>
  </si>
  <si>
    <t>PTW Probe #6 s/n 2359</t>
  </si>
  <si>
    <t>Fir Photon Solid Water Factor 6X</t>
  </si>
  <si>
    <t>%0.2f</t>
  </si>
  <si>
    <t>Fir Photon Solid Water Factor 10X</t>
  </si>
  <si>
    <t>Fir Photon Solid Water Factor 15X</t>
  </si>
  <si>
    <t>Fir Photon Solid Water Factor 10XFFF</t>
  </si>
  <si>
    <t>Arbutus Photon Solid Water Factor 6X</t>
  </si>
  <si>
    <t>Arbutus Photon Solid Water Factor 10X</t>
  </si>
  <si>
    <t>Arbutus Photon Solid Water Factor 15X</t>
  </si>
  <si>
    <t>Arbutus Photon Solid Water Factor 10XFFF</t>
  </si>
  <si>
    <t>Birch Photon Solid Water Factor 6X</t>
  </si>
  <si>
    <t>Birch Photon Solid Water Factor 10X</t>
  </si>
  <si>
    <t>Birch Photon Solid Water Factor 15X</t>
  </si>
  <si>
    <t>Birch Photon Solid Water Factor 10XFFF</t>
  </si>
  <si>
    <t>Cedar Photon Solid Water Factor 6X</t>
  </si>
  <si>
    <t>Cedar Photon Solid Water Factor 10X</t>
  </si>
  <si>
    <t>Cedar Photon Solid Water Factor 15X</t>
  </si>
  <si>
    <t>Cedar Photon Solid Water Factor 10XFFF</t>
  </si>
  <si>
    <t>Spruce Photon Solid Water Factor 6X</t>
  </si>
  <si>
    <t>Spruce Photon Solid Water Factor 10X</t>
  </si>
  <si>
    <t>Spruce Photon Solid Water Factor 15X</t>
  </si>
  <si>
    <t>Spruce Photon Solid Water Factor 10XFFF</t>
  </si>
  <si>
    <t>Oak Photon Solid Water Factor 6X</t>
  </si>
  <si>
    <t>Oak Photon Solid Water Factor 10X</t>
  </si>
  <si>
    <t>Oak Photon Solid Water Factor 15X</t>
  </si>
  <si>
    <t>Oak Photon Solid Water Factor 10XFFF</t>
  </si>
  <si>
    <t>Arbutus Electron Solid Water Factor 6E</t>
  </si>
  <si>
    <t>%0.1f</t>
  </si>
  <si>
    <t>Arbutus Electron Solid Water Factor 9E</t>
  </si>
  <si>
    <t>Arbutus Electron Solid Water Factor 12E</t>
  </si>
  <si>
    <t>Arbutus Electron Solid Water Factor 16E</t>
  </si>
  <si>
    <t>Arbutus Electron Solid Water Factor 20E</t>
  </si>
  <si>
    <t>Fir Electron Solid Water Factor 6E</t>
  </si>
  <si>
    <t>Fir Electron Solid Water Factor 9E</t>
  </si>
  <si>
    <t>Fir Electron Solid Water Factor 12E</t>
  </si>
  <si>
    <t>Fir Electron Solid Water Factor 16E</t>
  </si>
  <si>
    <t>Fir Electron Solid Water Factor 20E</t>
  </si>
  <si>
    <t>Birch Electron Solid Water Factor 6E</t>
  </si>
  <si>
    <t>Birch Electron Solid Water Factor 9E</t>
  </si>
  <si>
    <t>Birch Electron Solid Water Factor 12E</t>
  </si>
  <si>
    <t>Birch Electron Solid Water Factor 16E</t>
  </si>
  <si>
    <t>Birch Electron Solid Water Factor 20E</t>
  </si>
  <si>
    <t>Electromer ID</t>
  </si>
  <si>
    <t>electrometer_id</t>
  </si>
  <si>
    <t>Electrometer ID</t>
  </si>
  <si>
    <t>Main</t>
  </si>
  <si>
    <t>UNIDOSE S1,UNIDOSE E2,UNIDOSE E3,UNIDOSE E4,UNIDOSE E5</t>
  </si>
  <si>
    <t>Markus Probe ID</t>
  </si>
  <si>
    <t>markus_probe_id</t>
  </si>
  <si>
    <t>MKS1,MKS2,MKS4,MKSavd</t>
  </si>
  <si>
    <t>CTP (Photon)</t>
  </si>
  <si>
    <t>ctp_photon</t>
  </si>
  <si>
    <t>Corrected Temperature Pressure (photon)</t>
  </si>
  <si>
    <t>calculation</t>
  </si>
  <si>
    <t>ctp_photon=(760/p_corr_photon)*(t_probe_photon+273.15)/295.15</t>
  </si>
  <si>
    <t>CTP (Electron)</t>
  </si>
  <si>
    <t>ctp_electron</t>
  </si>
  <si>
    <t>Corrected Temperature Pressure (electron)</t>
  </si>
  <si>
    <t>ctp_electron=(760/p_corr_electron)*(t_probe_electron+273.15)/295.15</t>
  </si>
  <si>
    <t>ND Ratio (Photon)</t>
  </si>
  <si>
    <t>nd_photon</t>
  </si>
  <si>
    <t>ND Ratio (photon)</t>
  </si>
  <si>
    <t>ND Ratio (Electron)</t>
  </si>
  <si>
    <t>nd_electron</t>
  </si>
  <si>
    <t>ND Ratio (electron)</t>
  </si>
  <si>
    <t>Pressure (Photon)</t>
  </si>
  <si>
    <t>p_corr_photon</t>
  </si>
  <si>
    <t>Corrected Pressure (photon)</t>
  </si>
  <si>
    <t>Pressure (Electron)</t>
  </si>
  <si>
    <t>p_corr_electron</t>
  </si>
  <si>
    <t>Corrected Pressure (electron)</t>
  </si>
  <si>
    <t>PTW Probe ID</t>
  </si>
  <si>
    <t>ptw_probe_id</t>
  </si>
  <si>
    <t>PTW2,PTW3,PTW4,PTW5,PTW6,PTW7</t>
  </si>
  <si>
    <t>Temperature (Photon)</t>
  </si>
  <si>
    <t>t_probe_photon</t>
  </si>
  <si>
    <t>Probe Temperature (photon)</t>
  </si>
  <si>
    <t>Temperature (Electron)</t>
  </si>
  <si>
    <t>t_probe_electron</t>
  </si>
  <si>
    <t>Probe Temperature (electron)</t>
  </si>
  <si>
    <t>Dosimetry</t>
  </si>
  <si>
    <t>from qatrack.custom.nd_dose import get_photon_probe
nd_photon = get_photon_probe(ptw_probe_id)</t>
  </si>
  <si>
    <t>from qatrack.custom.nd_dose import get_electron_markus
nd_electron = get_electron_markus(markus_probe_id)</t>
  </si>
  <si>
    <t>pulldown</t>
  </si>
  <si>
    <t>numeric</t>
  </si>
  <si>
    <t>#!ptw_7_nd</t>
  </si>
  <si>
    <t>#!ptw_2_nd</t>
  </si>
  <si>
    <t>#!ptw_3_nd</t>
  </si>
  <si>
    <t>#!ptw_4_nd</t>
  </si>
  <si>
    <t>#!ptw_5_nd</t>
  </si>
  <si>
    <t>#!ptw_6_nd</t>
  </si>
  <si>
    <t>#!markus_1_nd</t>
  </si>
  <si>
    <t>#!markus_2_nd</t>
  </si>
  <si>
    <t>#!markus_4_nd</t>
  </si>
  <si>
    <t>#!markus_savd_nd</t>
  </si>
  <si>
    <t>#!unidose_s1_p_elec</t>
  </si>
  <si>
    <t>#!unidose_e2_p_elec</t>
  </si>
  <si>
    <t>#!unidose_e3_p_elec</t>
  </si>
  <si>
    <t>#!unidose_e4_p_elec</t>
  </si>
  <si>
    <t>#!unidose_e5_p_elec</t>
  </si>
  <si>
    <t>#!vifir_tb1_photon_6x_fc</t>
  </si>
  <si>
    <t>#!vifir_tb1_photon_10x_fc</t>
  </si>
  <si>
    <t>#!vifir_tb1_photon_15x_fc</t>
  </si>
  <si>
    <t>#!vifir_tb1_photon_10xfff_fc</t>
  </si>
  <si>
    <t>#!viarbutus_tb2_photon_6x_fc</t>
  </si>
  <si>
    <t>#!viarbutus_tb2_photon_10x_fc</t>
  </si>
  <si>
    <t>#!viarbutus_tb2_photon_15x_fc</t>
  </si>
  <si>
    <t>#!viarbutus_tb2_photon_10xfff_fc</t>
  </si>
  <si>
    <t>#!vibirch_tb3_photon_6x_fc</t>
  </si>
  <si>
    <t>#!vibirch_tb3_photon_10x_fc</t>
  </si>
  <si>
    <t>#!vibirch_tb3_photon_15x_fc</t>
  </si>
  <si>
    <t>#!vibirch_tb3_photon_10xfff_fc</t>
  </si>
  <si>
    <t>#!vicedar_tb4_photon_6x_fc</t>
  </si>
  <si>
    <t>#!vicedar_tb4_photon_10x_fc</t>
  </si>
  <si>
    <t>#!vicedar_tb4_photon_15x_fc</t>
  </si>
  <si>
    <t>#!vicedar_tb4_photon_10xfff_fc</t>
  </si>
  <si>
    <t>#!vispruce_tb5_photon_6x_fc</t>
  </si>
  <si>
    <t>#!vispruce_tb5_photon_10x_fc</t>
  </si>
  <si>
    <t>#!vispruce_tb5_photon_15x_fc</t>
  </si>
  <si>
    <t>#!vispruce_tb5_photon_10xfff_fc</t>
  </si>
  <si>
    <t>#!vioak_tb6_photon_6x_fc</t>
  </si>
  <si>
    <t>#!vioak_tb6_photon_10x_fc</t>
  </si>
  <si>
    <t>#!vioak_tb6_photon_15x_fc</t>
  </si>
  <si>
    <t>#!vioak_tb6_photon_10xfff_fc</t>
  </si>
  <si>
    <t>#!vifir_tb1_electron_6e_fc</t>
  </si>
  <si>
    <t>#!vifir_tb1_electron_9e_fc</t>
  </si>
  <si>
    <t>#!vifir_tb1_electron_12e_fc</t>
  </si>
  <si>
    <t>#!vifir_tb1_electron_16e_fc</t>
  </si>
  <si>
    <t>#!vifir_tb1_electron_20e_fc</t>
  </si>
  <si>
    <t>#!viarbutus_tb2_electron_6e_fc</t>
  </si>
  <si>
    <t>#!viarbutus_tb2_electron_9e_fc</t>
  </si>
  <si>
    <t>#!viarbutus_tb2_electron_12e_fc</t>
  </si>
  <si>
    <t>#!viarbutus_tb2_electron_16e_fc</t>
  </si>
  <si>
    <t>#!viarbutus_tb2_electron_20e_fc</t>
  </si>
  <si>
    <t>#!vibirch_tb1_electron_6e_fc</t>
  </si>
  <si>
    <t>#!vibirch_tb1_electron_9e_fc</t>
  </si>
  <si>
    <t>#!vibirch_tb1_electron_12e_fc</t>
  </si>
  <si>
    <t>#!vibirch_tb1_electron_16e_fc</t>
  </si>
  <si>
    <t>#!vibirch_tb1_electron_20e_fc</t>
  </si>
  <si>
    <t>Pcorr:</t>
  </si>
  <si>
    <t>Tprobe:</t>
  </si>
  <si>
    <t xml:space="preserve">SETUP: Gantry 0°, Collimator 0°, Couch 0°, Farmer chamber in solid water with axis aligned to mechanical crosshair  and perpendicular to couch LNG, </t>
  </si>
  <si>
    <t xml:space="preserve">             SAD100 in solid water, Depth 10cm, Backscatter 5cm solid water slab, Field Size 10x10cm</t>
  </si>
  <si>
    <t>ACQUISITION: Use MACHINE QA mode, file directory: Shared drive\PHYSICS\MachineID\QA\Monthly QA.</t>
  </si>
  <si>
    <t>#!6X_OC_10x10_1</t>
  </si>
  <si>
    <t>#!6X_OC_10x10_2</t>
  </si>
  <si>
    <t>#!6X_OC_10x10_3</t>
  </si>
  <si>
    <t>#!10X_OC_10x10_1</t>
  </si>
  <si>
    <t>#!10X_OC_10x10_2</t>
  </si>
  <si>
    <t>#!10X_OC_10x10_3</t>
  </si>
  <si>
    <t>#!10Xfff_OC_10x10_1</t>
  </si>
  <si>
    <t>#!10Xfff_OC_10x10_2</t>
  </si>
  <si>
    <t>#!10Xfff_OC_10x10_3</t>
  </si>
  <si>
    <t>#!15X_OC_10x10_1</t>
  </si>
  <si>
    <t>#!15X_OC_10x10_2</t>
  </si>
  <si>
    <t>#!15X_OC_10x10_3</t>
  </si>
  <si>
    <t>#!6X_EDW60IN</t>
  </si>
  <si>
    <t>#!6X_EDW60OUT</t>
  </si>
  <si>
    <t>#!10X_EDW60IN</t>
  </si>
  <si>
    <t>#!10X_EDW60OUT</t>
  </si>
  <si>
    <t>#!15X_EDW60IN</t>
  </si>
  <si>
    <t>#!15X_EDW60OUT</t>
  </si>
  <si>
    <t>#!5mm_dmlc_1</t>
  </si>
  <si>
    <t>#!5mm_dmlc_2</t>
  </si>
  <si>
    <t>5mm interrupt*</t>
  </si>
  <si>
    <t>#!5mm_Int_dmlc_1</t>
  </si>
  <si>
    <t>#!5mm_Int_dmlc_2</t>
  </si>
  <si>
    <t>#!Hold_dmlc_1</t>
  </si>
  <si>
    <t>#!Hold_dmlc_2</t>
  </si>
  <si>
    <t>#!Prostate_6X_dmlc_1</t>
  </si>
  <si>
    <t>#!Prostate_6X_dmlc_2</t>
  </si>
  <si>
    <t>#!H&amp;N_dmlc_1</t>
  </si>
  <si>
    <t>#!H&amp;N_dmlc_2</t>
  </si>
  <si>
    <t>#!VMAT_factor_ccw</t>
  </si>
  <si>
    <t>#!VMAT_factor_cw</t>
  </si>
  <si>
    <t>#!dmlc_error</t>
  </si>
  <si>
    <t>SETUP: As per above except depth nominal dmax</t>
  </si>
  <si>
    <t>#!6X_TMR_1</t>
  </si>
  <si>
    <t>#!6X_TMR_2</t>
  </si>
  <si>
    <t>#!10X_TMR_1</t>
  </si>
  <si>
    <t>#!10X_TMR_2</t>
  </si>
  <si>
    <t>#!10fff_TMR_1</t>
  </si>
  <si>
    <t>#!10fff_TMR_2</t>
  </si>
  <si>
    <t>#!15_TMR_1</t>
  </si>
  <si>
    <t>#!15_TMR_2</t>
  </si>
  <si>
    <t>SETUP: As per above except Farmer chamber axis parallel to couch LNG;  100 cm SAD, depth 1 cm, backscatter 5 cm</t>
  </si>
  <si>
    <t>ACQUISITION: Use MACHINE QA or TREATMENT mode, Acquire CBCT image sets for specified protocols using SPECIFIED mAs.</t>
  </si>
  <si>
    <t>Shared drive\PHYSICS\MachineID\QA\Monthly QA.  * For the Head protocol, position Gantry at GA180° CW prior to image acquisition.</t>
  </si>
  <si>
    <t>#!CBCT-HEAD_dose_index</t>
  </si>
  <si>
    <t>#!CBCT-SPOTLIGHT_dose_index</t>
  </si>
  <si>
    <t>#!THORAX_dose_index</t>
  </si>
  <si>
    <t>#!PELVIS_dose_index</t>
  </si>
  <si>
    <t>SETUP: Gantry 0°, Collimator 0°, Couch 0°, SSD100 in solid water, Depth (6E, 1.5cm; 9-20E, 2.5cm), Backscatter 5cm, Applicator A10 w/std insert</t>
  </si>
  <si>
    <t>3.1 Electron Output Constancy (100MU)</t>
  </si>
  <si>
    <t>#!6E_OC__1</t>
  </si>
  <si>
    <t>#!6E_OC_2</t>
  </si>
  <si>
    <t>#!6E_OC_3</t>
  </si>
  <si>
    <t>#!9E_OC_1</t>
  </si>
  <si>
    <t>#!9E_OC_2</t>
  </si>
  <si>
    <t>#!9E_OC_3</t>
  </si>
  <si>
    <t>#!12E_OC_1</t>
  </si>
  <si>
    <t>#!12E_OC_2</t>
  </si>
  <si>
    <t>#!12E_OC_3</t>
  </si>
  <si>
    <t>#!16E_OC_1</t>
  </si>
  <si>
    <t>#!16E_OC_2</t>
  </si>
  <si>
    <t>#!16E_OC_3</t>
  </si>
  <si>
    <t>#!20E_OC_1</t>
  </si>
  <si>
    <t>#!20E_OC_2</t>
  </si>
  <si>
    <t>#!20E_OC_3</t>
  </si>
  <si>
    <t>#!p_corr_electron</t>
  </si>
  <si>
    <t>#!t_probe_electron</t>
  </si>
  <si>
    <t>#!p_corr_photon</t>
  </si>
  <si>
    <t>#!t_probe_photon</t>
  </si>
  <si>
    <t>#!ctp_electron</t>
  </si>
  <si>
    <t>#!nd_electron</t>
  </si>
  <si>
    <t>#!markus_probe_id</t>
  </si>
  <si>
    <t>#!electrometer_id</t>
  </si>
  <si>
    <t>#!ctp_photon</t>
  </si>
  <si>
    <t>#!nd_photon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</si>
</sst>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0.000"/>
    <numFmt numFmtId="165" formatCode="0.0000"/>
    <numFmt numFmtId="166" formatCode="0.0"/>
    <numFmt numFmtId="167" formatCode="dd\-mmm\-yyyy"/>
    <numFmt numFmtId="168" formatCode="dd/mmm/yyyy"/>
  </numFmts>
  <fonts count="44" x14ac:knownFonts="1">
    <font>
      <sz val="10"/>
      <name val="Arial"/>
    </font>
    <font>
      <b/>
      <sz val="14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b/>
      <sz val="10"/>
      <name val="Arial"/>
      <family val="2"/>
    </font>
    <font>
      <b/>
      <vertAlign val="subscript"/>
      <sz val="12"/>
      <name val="Arial"/>
      <family val="2"/>
    </font>
    <font>
      <b/>
      <sz val="11"/>
      <name val="Arial"/>
      <family val="2"/>
    </font>
    <font>
      <b/>
      <i/>
      <sz val="12"/>
      <name val="Arial"/>
      <family val="2"/>
    </font>
    <font>
      <b/>
      <sz val="10"/>
      <color indexed="10"/>
      <name val="Arial"/>
      <family val="2"/>
    </font>
    <font>
      <b/>
      <vertAlign val="subscript"/>
      <sz val="10"/>
      <name val="Arial"/>
      <family val="2"/>
    </font>
    <font>
      <i/>
      <sz val="9"/>
      <name val="Arial"/>
      <family val="2"/>
    </font>
    <font>
      <sz val="10"/>
      <name val="Calibri"/>
      <family val="2"/>
    </font>
    <font>
      <i/>
      <sz val="8"/>
      <color indexed="10"/>
      <name val="Arial"/>
      <family val="2"/>
    </font>
    <font>
      <i/>
      <sz val="12"/>
      <name val="Arial"/>
      <family val="2"/>
    </font>
    <font>
      <i/>
      <u/>
      <sz val="10"/>
      <name val="Arial"/>
      <family val="2"/>
    </font>
    <font>
      <sz val="10"/>
      <color indexed="10"/>
      <name val="Arial"/>
      <family val="2"/>
    </font>
    <font>
      <b/>
      <i/>
      <sz val="10"/>
      <color indexed="10"/>
      <name val="Arial"/>
      <family val="2"/>
    </font>
    <font>
      <b/>
      <u/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i/>
      <sz val="8"/>
      <name val="Arial"/>
      <family val="2"/>
    </font>
    <font>
      <vertAlign val="subscript"/>
      <sz val="12"/>
      <name val="Arial"/>
      <family val="2"/>
    </font>
    <font>
      <b/>
      <vertAlign val="subscript"/>
      <sz val="10"/>
      <color indexed="10"/>
      <name val="Arial"/>
      <family val="2"/>
    </font>
    <font>
      <b/>
      <sz val="10"/>
      <color indexed="52"/>
      <name val="Arial"/>
      <family val="2"/>
    </font>
    <font>
      <b/>
      <sz val="1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Arial"/>
      <family val="2"/>
    </font>
    <font>
      <b/>
      <sz val="11"/>
      <color rgb="FFFF0000"/>
      <name val="Arial"/>
      <family val="2"/>
    </font>
    <font>
      <i/>
      <sz val="10"/>
      <color rgb="FF0070C0"/>
      <name val="Arial"/>
      <family val="2"/>
    </font>
    <font>
      <b/>
      <sz val="12"/>
      <color rgb="FFFF0000"/>
      <name val="Arial"/>
      <family val="2"/>
    </font>
    <font>
      <b/>
      <sz val="10"/>
      <color rgb="FF0070C0"/>
      <name val="Arial"/>
      <family val="2"/>
    </font>
    <font>
      <b/>
      <sz val="10"/>
      <color rgb="FFFF0000"/>
      <name val="Arial"/>
      <family val="2"/>
    </font>
    <font>
      <b/>
      <i/>
      <sz val="11"/>
      <color rgb="FFFF0000"/>
      <name val="Arial"/>
      <family val="2"/>
    </font>
    <font>
      <sz val="10"/>
      <color rgb="FFFF0000"/>
      <name val="Arial"/>
      <family val="2"/>
    </font>
    <font>
      <b/>
      <i/>
      <sz val="12"/>
      <color rgb="FFFF0000"/>
      <name val="Arial"/>
      <family val="2"/>
    </font>
    <font>
      <sz val="10"/>
      <color theme="1"/>
      <name val="Arial"/>
      <family val="2"/>
    </font>
    <font>
      <b/>
      <sz val="9"/>
      <color rgb="FFFF0000"/>
      <name val="Arial"/>
      <family val="2"/>
    </font>
    <font>
      <i/>
      <sz val="10"/>
      <color rgb="FFFF0000"/>
      <name val="Arial"/>
      <family val="2"/>
    </font>
    <font>
      <i/>
      <sz val="10"/>
      <color theme="1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FF"/>
        <bgColor indexed="64"/>
      </patternFill>
    </fill>
  </fills>
  <borders count="42">
    <border>
      <left/>
      <right/>
      <top/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51">
    <xf numFmtId="0" fontId="0" fillId="0" borderId="0" xfId="0"/>
    <xf numFmtId="0" fontId="0" fillId="0" borderId="0" xfId="0" applyBorder="1"/>
    <xf numFmtId="0" fontId="0" fillId="0" borderId="0" xfId="0" applyAlignment="1">
      <alignment horizontal="right"/>
    </xf>
    <xf numFmtId="0" fontId="0" fillId="2" borderId="0" xfId="0" applyFill="1"/>
    <xf numFmtId="0" fontId="0" fillId="2" borderId="0" xfId="0" applyFill="1" applyBorder="1"/>
    <xf numFmtId="0" fontId="0" fillId="0" borderId="0" xfId="0" quotePrefix="1" applyBorder="1" applyAlignment="1">
      <alignment horizontal="center"/>
    </xf>
    <xf numFmtId="0" fontId="12" fillId="0" borderId="0" xfId="0" applyFont="1" applyAlignment="1">
      <alignment horizontal="center"/>
    </xf>
    <xf numFmtId="0" fontId="0" fillId="3" borderId="0" xfId="0" applyFill="1" applyBorder="1"/>
    <xf numFmtId="0" fontId="1" fillId="3" borderId="0" xfId="0" applyFont="1" applyFill="1" applyBorder="1" applyAlignment="1">
      <alignment horizontal="left"/>
    </xf>
    <xf numFmtId="0" fontId="4" fillId="3" borderId="0" xfId="0" applyFont="1" applyFill="1" applyBorder="1" applyAlignment="1"/>
    <xf numFmtId="0" fontId="5" fillId="3" borderId="1" xfId="0" applyFont="1" applyFill="1" applyBorder="1"/>
    <xf numFmtId="0" fontId="0" fillId="3" borderId="2" xfId="0" applyFill="1" applyBorder="1"/>
    <xf numFmtId="0" fontId="0" fillId="3" borderId="3" xfId="0" applyFill="1" applyBorder="1"/>
    <xf numFmtId="0" fontId="0" fillId="3" borderId="4" xfId="0" applyFill="1" applyBorder="1"/>
    <xf numFmtId="0" fontId="0" fillId="3" borderId="5" xfId="0" applyFill="1" applyBorder="1"/>
    <xf numFmtId="0" fontId="7" fillId="3" borderId="0" xfId="0" applyFont="1" applyFill="1" applyBorder="1"/>
    <xf numFmtId="0" fontId="6" fillId="3" borderId="0" xfId="0" applyFont="1" applyFill="1" applyBorder="1" applyAlignment="1">
      <alignment horizontal="right"/>
    </xf>
    <xf numFmtId="0" fontId="0" fillId="3" borderId="6" xfId="0" applyFill="1" applyBorder="1"/>
    <xf numFmtId="0" fontId="0" fillId="3" borderId="7" xfId="0" applyFill="1" applyBorder="1"/>
    <xf numFmtId="0" fontId="0" fillId="3" borderId="8" xfId="0" applyFill="1" applyBorder="1"/>
    <xf numFmtId="0" fontId="5" fillId="3" borderId="0" xfId="0" applyFont="1" applyFill="1" applyBorder="1"/>
    <xf numFmtId="0" fontId="8" fillId="3" borderId="9" xfId="0" applyFont="1" applyFill="1" applyBorder="1" applyAlignment="1" applyProtection="1">
      <alignment horizontal="center"/>
      <protection locked="0"/>
    </xf>
    <xf numFmtId="0" fontId="5" fillId="3" borderId="0" xfId="0" applyFont="1" applyFill="1" applyBorder="1" applyAlignment="1">
      <alignment horizontal="right"/>
    </xf>
    <xf numFmtId="164" fontId="8" fillId="3" borderId="9" xfId="0" applyNumberFormat="1" applyFont="1" applyFill="1" applyBorder="1" applyAlignment="1" applyProtection="1">
      <alignment horizontal="center"/>
    </xf>
    <xf numFmtId="0" fontId="8" fillId="3" borderId="0" xfId="0" applyFont="1" applyFill="1" applyBorder="1" applyAlignment="1">
      <alignment horizontal="right"/>
    </xf>
    <xf numFmtId="0" fontId="8" fillId="3" borderId="9" xfId="0" applyFont="1" applyFill="1" applyBorder="1" applyAlignment="1" applyProtection="1">
      <alignment horizontal="center" shrinkToFit="1"/>
      <protection locked="0"/>
    </xf>
    <xf numFmtId="0" fontId="8" fillId="3" borderId="10" xfId="0" applyFont="1" applyFill="1" applyBorder="1" applyAlignment="1">
      <alignment horizontal="center"/>
    </xf>
    <xf numFmtId="0" fontId="8" fillId="3" borderId="10" xfId="0" applyFont="1" applyFill="1" applyBorder="1" applyAlignment="1">
      <alignment horizontal="center" shrinkToFit="1"/>
    </xf>
    <xf numFmtId="0" fontId="0" fillId="3" borderId="11" xfId="0" applyFill="1" applyBorder="1"/>
    <xf numFmtId="0" fontId="0" fillId="3" borderId="12" xfId="0" applyFill="1" applyBorder="1" applyAlignment="1">
      <alignment horizontal="center"/>
    </xf>
    <xf numFmtId="0" fontId="0" fillId="3" borderId="13" xfId="0" applyFill="1" applyBorder="1"/>
    <xf numFmtId="0" fontId="6" fillId="3" borderId="9" xfId="0" applyFont="1" applyFill="1" applyBorder="1" applyAlignment="1" applyProtection="1">
      <alignment horizontal="center"/>
    </xf>
    <xf numFmtId="0" fontId="0" fillId="3" borderId="9" xfId="0" applyFill="1" applyBorder="1" applyAlignment="1">
      <alignment horizontal="center"/>
    </xf>
    <xf numFmtId="2" fontId="8" fillId="3" borderId="9" xfId="0" applyNumberFormat="1" applyFont="1" applyFill="1" applyBorder="1" applyAlignment="1" applyProtection="1">
      <alignment horizontal="center"/>
      <protection locked="0"/>
    </xf>
    <xf numFmtId="2" fontId="0" fillId="3" borderId="9" xfId="0" applyNumberFormat="1" applyFill="1" applyBorder="1" applyAlignment="1">
      <alignment horizontal="center"/>
    </xf>
    <xf numFmtId="166" fontId="0" fillId="3" borderId="9" xfId="0" applyNumberFormat="1" applyFill="1" applyBorder="1" applyAlignment="1">
      <alignment horizontal="center"/>
    </xf>
    <xf numFmtId="0" fontId="8" fillId="3" borderId="9" xfId="0" applyFont="1" applyFill="1" applyBorder="1" applyAlignment="1">
      <alignment horizontal="center"/>
    </xf>
    <xf numFmtId="0" fontId="6" fillId="3" borderId="12" xfId="0" applyFont="1" applyFill="1" applyBorder="1" applyAlignment="1" applyProtection="1">
      <alignment horizontal="center"/>
    </xf>
    <xf numFmtId="2" fontId="0" fillId="3" borderId="12" xfId="0" applyNumberFormat="1" applyFill="1" applyBorder="1" applyAlignment="1">
      <alignment horizontal="center"/>
    </xf>
    <xf numFmtId="166" fontId="0" fillId="3" borderId="12" xfId="0" applyNumberFormat="1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3" borderId="12" xfId="0" applyFill="1" applyBorder="1"/>
    <xf numFmtId="0" fontId="0" fillId="3" borderId="9" xfId="0" applyFill="1" applyBorder="1" applyAlignment="1" applyProtection="1">
      <alignment horizontal="center"/>
    </xf>
    <xf numFmtId="164" fontId="0" fillId="3" borderId="9" xfId="0" applyNumberFormat="1" applyFill="1" applyBorder="1" applyAlignment="1">
      <alignment horizontal="center"/>
    </xf>
    <xf numFmtId="0" fontId="0" fillId="3" borderId="12" xfId="0" applyFill="1" applyBorder="1" applyAlignment="1" applyProtection="1">
      <alignment horizontal="center"/>
    </xf>
    <xf numFmtId="164" fontId="8" fillId="3" borderId="12" xfId="0" applyNumberFormat="1" applyFont="1" applyFill="1" applyBorder="1" applyAlignment="1" applyProtection="1">
      <alignment horizontal="center"/>
      <protection locked="0"/>
    </xf>
    <xf numFmtId="0" fontId="3" fillId="3" borderId="10" xfId="0" applyFont="1" applyFill="1" applyBorder="1" applyAlignment="1">
      <alignment horizontal="center"/>
    </xf>
    <xf numFmtId="0" fontId="6" fillId="3" borderId="11" xfId="0" applyFont="1" applyFill="1" applyBorder="1" applyAlignment="1">
      <alignment horizontal="center"/>
    </xf>
    <xf numFmtId="2" fontId="8" fillId="3" borderId="12" xfId="0" applyNumberFormat="1" applyFont="1" applyFill="1" applyBorder="1" applyAlignment="1" applyProtection="1">
      <alignment horizontal="center"/>
      <protection locked="0"/>
    </xf>
    <xf numFmtId="0" fontId="6" fillId="3" borderId="9" xfId="0" applyFont="1" applyFill="1" applyBorder="1" applyAlignment="1">
      <alignment horizontal="center"/>
    </xf>
    <xf numFmtId="0" fontId="0" fillId="3" borderId="14" xfId="0" applyFill="1" applyBorder="1" applyAlignment="1">
      <alignment horizontal="center"/>
    </xf>
    <xf numFmtId="0" fontId="8" fillId="3" borderId="0" xfId="0" applyFont="1" applyFill="1" applyBorder="1" applyAlignment="1">
      <alignment horizontal="center"/>
    </xf>
    <xf numFmtId="0" fontId="6" fillId="3" borderId="12" xfId="0" applyFont="1" applyFill="1" applyBorder="1" applyAlignment="1">
      <alignment horizontal="center"/>
    </xf>
    <xf numFmtId="166" fontId="0" fillId="3" borderId="0" xfId="0" applyNumberFormat="1" applyFill="1" applyBorder="1" applyAlignment="1">
      <alignment horizontal="center"/>
    </xf>
    <xf numFmtId="164" fontId="0" fillId="3" borderId="0" xfId="0" applyNumberFormat="1" applyFill="1" applyBorder="1" applyAlignment="1">
      <alignment horizontal="center"/>
    </xf>
    <xf numFmtId="165" fontId="0" fillId="3" borderId="9" xfId="0" applyNumberFormat="1" applyFill="1" applyBorder="1" applyAlignment="1">
      <alignment horizontal="center"/>
    </xf>
    <xf numFmtId="0" fontId="0" fillId="3" borderId="0" xfId="0" applyFill="1" applyBorder="1" applyAlignment="1">
      <alignment horizontal="left"/>
    </xf>
    <xf numFmtId="0" fontId="6" fillId="3" borderId="14" xfId="0" applyFont="1" applyFill="1" applyBorder="1" applyAlignment="1">
      <alignment horizontal="center"/>
    </xf>
    <xf numFmtId="166" fontId="8" fillId="3" borderId="9" xfId="0" applyNumberFormat="1" applyFont="1" applyFill="1" applyBorder="1" applyAlignment="1" applyProtection="1">
      <alignment horizontal="center"/>
      <protection locked="0"/>
    </xf>
    <xf numFmtId="0" fontId="0" fillId="3" borderId="14" xfId="0" applyFill="1" applyBorder="1" applyAlignment="1">
      <alignment horizontal="center" shrinkToFit="1"/>
    </xf>
    <xf numFmtId="0" fontId="0" fillId="3" borderId="15" xfId="0" applyFill="1" applyBorder="1"/>
    <xf numFmtId="0" fontId="8" fillId="3" borderId="11" xfId="0" applyFont="1" applyFill="1" applyBorder="1" applyAlignment="1">
      <alignment horizontal="center"/>
    </xf>
    <xf numFmtId="0" fontId="0" fillId="3" borderId="11" xfId="0" applyFill="1" applyBorder="1" applyAlignment="1">
      <alignment horizontal="center" shrinkToFit="1"/>
    </xf>
    <xf numFmtId="0" fontId="8" fillId="3" borderId="0" xfId="0" applyFont="1" applyFill="1" applyBorder="1" applyAlignment="1">
      <alignment horizontal="center" shrinkToFit="1"/>
    </xf>
    <xf numFmtId="0" fontId="0" fillId="3" borderId="0" xfId="0" applyFill="1" applyBorder="1" applyAlignment="1">
      <alignment horizontal="center" shrinkToFit="1"/>
    </xf>
    <xf numFmtId="0" fontId="0" fillId="3" borderId="14" xfId="0" applyFill="1" applyBorder="1"/>
    <xf numFmtId="0" fontId="8" fillId="3" borderId="16" xfId="0" applyFont="1" applyFill="1" applyBorder="1" applyAlignment="1">
      <alignment horizontal="center"/>
    </xf>
    <xf numFmtId="0" fontId="8" fillId="0" borderId="0" xfId="0" applyFont="1"/>
    <xf numFmtId="0" fontId="0" fillId="0" borderId="0" xfId="0" applyAlignment="1">
      <alignment horizontal="left"/>
    </xf>
    <xf numFmtId="49" fontId="0" fillId="0" borderId="0" xfId="0" applyNumberFormat="1" applyAlignment="1">
      <alignment horizontal="left"/>
    </xf>
    <xf numFmtId="164" fontId="8" fillId="3" borderId="9" xfId="0" applyNumberFormat="1" applyFont="1" applyFill="1" applyBorder="1" applyAlignment="1">
      <alignment horizontal="center"/>
    </xf>
    <xf numFmtId="0" fontId="5" fillId="3" borderId="9" xfId="0" applyFont="1" applyFill="1" applyBorder="1" applyAlignment="1" applyProtection="1">
      <alignment horizontal="center"/>
      <protection locked="0"/>
    </xf>
    <xf numFmtId="0" fontId="14" fillId="3" borderId="17" xfId="0" applyFont="1" applyFill="1" applyBorder="1"/>
    <xf numFmtId="166" fontId="0" fillId="0" borderId="0" xfId="0" applyNumberFormat="1" applyAlignment="1">
      <alignment horizontal="left"/>
    </xf>
    <xf numFmtId="15" fontId="0" fillId="0" borderId="0" xfId="0" applyNumberFormat="1" applyAlignment="1">
      <alignment horizontal="left"/>
    </xf>
    <xf numFmtId="164" fontId="0" fillId="0" borderId="0" xfId="0" applyNumberFormat="1" applyAlignment="1">
      <alignment horizontal="left"/>
    </xf>
    <xf numFmtId="2" fontId="0" fillId="3" borderId="9" xfId="0" applyNumberFormat="1" applyFill="1" applyBorder="1" applyAlignment="1" applyProtection="1">
      <alignment horizontal="center"/>
    </xf>
    <xf numFmtId="0" fontId="0" fillId="3" borderId="15" xfId="0" applyFill="1" applyBorder="1" applyAlignment="1"/>
    <xf numFmtId="0" fontId="6" fillId="3" borderId="0" xfId="0" applyFont="1" applyFill="1" applyBorder="1"/>
    <xf numFmtId="0" fontId="0" fillId="4" borderId="0" xfId="0" applyFill="1" applyBorder="1"/>
    <xf numFmtId="2" fontId="8" fillId="3" borderId="0" xfId="0" applyNumberFormat="1" applyFont="1" applyFill="1" applyBorder="1" applyAlignment="1" applyProtection="1">
      <alignment horizontal="center"/>
      <protection locked="0"/>
    </xf>
    <xf numFmtId="2" fontId="0" fillId="3" borderId="0" xfId="0" applyNumberFormat="1" applyFill="1" applyBorder="1" applyAlignment="1">
      <alignment horizontal="center"/>
    </xf>
    <xf numFmtId="0" fontId="6" fillId="3" borderId="0" xfId="0" applyFont="1" applyFill="1" applyBorder="1" applyAlignment="1">
      <alignment horizontal="center"/>
    </xf>
    <xf numFmtId="2" fontId="6" fillId="3" borderId="9" xfId="0" applyNumberFormat="1" applyFont="1" applyFill="1" applyBorder="1" applyAlignment="1">
      <alignment horizontal="center"/>
    </xf>
    <xf numFmtId="0" fontId="6" fillId="0" borderId="0" xfId="0" applyFont="1" applyBorder="1" applyAlignment="1">
      <alignment horizontal="left"/>
    </xf>
    <xf numFmtId="0" fontId="6" fillId="0" borderId="0" xfId="0" applyFont="1" applyAlignment="1">
      <alignment horizontal="left"/>
    </xf>
    <xf numFmtId="2" fontId="6" fillId="3" borderId="0" xfId="0" applyNumberFormat="1" applyFont="1" applyFill="1" applyBorder="1" applyAlignment="1">
      <alignment horizontal="center"/>
    </xf>
    <xf numFmtId="165" fontId="0" fillId="3" borderId="0" xfId="0" applyNumberFormat="1" applyFill="1" applyBorder="1" applyAlignment="1">
      <alignment horizontal="center"/>
    </xf>
    <xf numFmtId="0" fontId="0" fillId="3" borderId="0" xfId="0" applyFill="1" applyBorder="1" applyAlignment="1"/>
    <xf numFmtId="0" fontId="6" fillId="3" borderId="0" xfId="0" applyFont="1" applyFill="1" applyBorder="1" applyAlignment="1">
      <alignment horizontal="left"/>
    </xf>
    <xf numFmtId="0" fontId="0" fillId="0" borderId="18" xfId="0" applyBorder="1" applyAlignment="1">
      <alignment horizontal="left"/>
    </xf>
    <xf numFmtId="0" fontId="17" fillId="0" borderId="19" xfId="0" applyFont="1" applyBorder="1" applyAlignment="1">
      <alignment horizontal="left"/>
    </xf>
    <xf numFmtId="0" fontId="0" fillId="0" borderId="19" xfId="0" applyBorder="1" applyAlignment="1">
      <alignment horizontal="left"/>
    </xf>
    <xf numFmtId="0" fontId="0" fillId="0" borderId="19" xfId="0" applyFill="1" applyBorder="1" applyAlignment="1">
      <alignment horizontal="left"/>
    </xf>
    <xf numFmtId="0" fontId="7" fillId="0" borderId="19" xfId="0" applyFont="1" applyBorder="1" applyAlignment="1">
      <alignment horizontal="left"/>
    </xf>
    <xf numFmtId="0" fontId="6" fillId="0" borderId="19" xfId="0" applyFont="1" applyBorder="1" applyAlignment="1">
      <alignment horizontal="left"/>
    </xf>
    <xf numFmtId="0" fontId="0" fillId="3" borderId="9" xfId="0" quotePrefix="1" applyFill="1" applyBorder="1" applyAlignment="1" applyProtection="1">
      <alignment horizontal="center"/>
    </xf>
    <xf numFmtId="0" fontId="0" fillId="3" borderId="0" xfId="0" applyFill="1" applyBorder="1" applyAlignment="1" applyProtection="1">
      <alignment horizontal="center"/>
    </xf>
    <xf numFmtId="166" fontId="8" fillId="3" borderId="0" xfId="0" applyNumberFormat="1" applyFont="1" applyFill="1" applyBorder="1" applyAlignment="1" applyProtection="1">
      <alignment horizontal="center"/>
    </xf>
    <xf numFmtId="166" fontId="32" fillId="3" borderId="9" xfId="0" applyNumberFormat="1" applyFont="1" applyFill="1" applyBorder="1" applyAlignment="1">
      <alignment horizontal="center"/>
    </xf>
    <xf numFmtId="164" fontId="6" fillId="0" borderId="0" xfId="0" applyNumberFormat="1" applyFont="1" applyAlignment="1">
      <alignment horizontal="center"/>
    </xf>
    <xf numFmtId="165" fontId="6" fillId="0" borderId="0" xfId="0" applyNumberFormat="1" applyFont="1" applyAlignment="1">
      <alignment horizontal="center"/>
    </xf>
    <xf numFmtId="164" fontId="6" fillId="0" borderId="0" xfId="0" applyNumberFormat="1" applyFont="1" applyBorder="1" applyAlignment="1">
      <alignment horizontal="center"/>
    </xf>
    <xf numFmtId="0" fontId="6" fillId="3" borderId="14" xfId="0" applyFont="1" applyFill="1" applyBorder="1" applyAlignment="1">
      <alignment horizontal="center" shrinkToFit="1"/>
    </xf>
    <xf numFmtId="0" fontId="3" fillId="3" borderId="9" xfId="0" applyFont="1" applyFill="1" applyBorder="1" applyAlignment="1">
      <alignment horizontal="center"/>
    </xf>
    <xf numFmtId="1" fontId="0" fillId="3" borderId="0" xfId="0" applyNumberFormat="1" applyFill="1" applyBorder="1" applyAlignment="1">
      <alignment horizontal="center"/>
    </xf>
    <xf numFmtId="0" fontId="3" fillId="3" borderId="0" xfId="0" applyFont="1" applyFill="1" applyBorder="1" applyAlignment="1">
      <alignment horizontal="center"/>
    </xf>
    <xf numFmtId="0" fontId="3" fillId="3" borderId="0" xfId="0" applyFont="1" applyFill="1" applyBorder="1"/>
    <xf numFmtId="164" fontId="8" fillId="3" borderId="9" xfId="0" applyNumberFormat="1" applyFont="1" applyFill="1" applyBorder="1" applyAlignment="1" applyProtection="1">
      <alignment horizontal="center"/>
      <protection locked="0"/>
    </xf>
    <xf numFmtId="166" fontId="3" fillId="3" borderId="9" xfId="0" applyNumberFormat="1" applyFont="1" applyFill="1" applyBorder="1" applyAlignment="1" applyProtection="1">
      <alignment horizontal="center"/>
    </xf>
    <xf numFmtId="0" fontId="6" fillId="0" borderId="0" xfId="0" applyFont="1"/>
    <xf numFmtId="166" fontId="3" fillId="3" borderId="9" xfId="0" applyNumberFormat="1" applyFont="1" applyFill="1" applyBorder="1" applyAlignment="1" applyProtection="1">
      <alignment horizontal="center"/>
      <protection locked="0"/>
    </xf>
    <xf numFmtId="0" fontId="5" fillId="5" borderId="8" xfId="0" applyFont="1" applyFill="1" applyBorder="1"/>
    <xf numFmtId="0" fontId="0" fillId="5" borderId="8" xfId="0" applyFill="1" applyBorder="1"/>
    <xf numFmtId="0" fontId="8" fillId="5" borderId="8" xfId="0" applyFont="1" applyFill="1" applyBorder="1"/>
    <xf numFmtId="0" fontId="7" fillId="3" borderId="0" xfId="0" applyFont="1" applyFill="1" applyBorder="1" applyAlignment="1">
      <alignment horizontal="right"/>
    </xf>
    <xf numFmtId="0" fontId="6" fillId="0" borderId="0" xfId="0" applyFont="1" applyBorder="1"/>
    <xf numFmtId="0" fontId="6" fillId="4" borderId="0" xfId="0" applyFont="1" applyFill="1" applyBorder="1"/>
    <xf numFmtId="0" fontId="6" fillId="3" borderId="9" xfId="0" quotePrefix="1" applyFont="1" applyFill="1" applyBorder="1" applyAlignment="1">
      <alignment horizontal="center"/>
    </xf>
    <xf numFmtId="0" fontId="6" fillId="4" borderId="0" xfId="0" applyFont="1" applyFill="1" applyBorder="1" applyAlignment="1">
      <alignment horizontal="right"/>
    </xf>
    <xf numFmtId="166" fontId="0" fillId="3" borderId="15" xfId="0" applyNumberFormat="1" applyFill="1" applyBorder="1" applyAlignment="1">
      <alignment horizontal="center"/>
    </xf>
    <xf numFmtId="1" fontId="0" fillId="3" borderId="15" xfId="0" applyNumberFormat="1" applyFill="1" applyBorder="1" applyAlignment="1">
      <alignment horizontal="center"/>
    </xf>
    <xf numFmtId="166" fontId="6" fillId="3" borderId="0" xfId="0" applyNumberFormat="1" applyFont="1" applyFill="1" applyBorder="1" applyAlignment="1">
      <alignment horizontal="center"/>
    </xf>
    <xf numFmtId="0" fontId="3" fillId="3" borderId="12" xfId="0" applyFont="1" applyFill="1" applyBorder="1" applyAlignment="1">
      <alignment horizontal="center"/>
    </xf>
    <xf numFmtId="0" fontId="3" fillId="3" borderId="11" xfId="0" applyFont="1" applyFill="1" applyBorder="1" applyAlignment="1">
      <alignment horizontal="center"/>
    </xf>
    <xf numFmtId="0" fontId="6" fillId="3" borderId="13" xfId="0" applyFont="1" applyFill="1" applyBorder="1" applyAlignment="1">
      <alignment horizontal="center"/>
    </xf>
    <xf numFmtId="166" fontId="6" fillId="3" borderId="9" xfId="0" applyNumberFormat="1" applyFont="1" applyFill="1" applyBorder="1" applyAlignment="1" applyProtection="1">
      <alignment horizontal="center"/>
    </xf>
    <xf numFmtId="0" fontId="6" fillId="4" borderId="9" xfId="0" applyFont="1" applyFill="1" applyBorder="1" applyAlignment="1" applyProtection="1">
      <alignment horizontal="center"/>
    </xf>
    <xf numFmtId="2" fontId="0" fillId="0" borderId="0" xfId="0" applyNumberFormat="1" applyAlignment="1">
      <alignment horizontal="left"/>
    </xf>
    <xf numFmtId="0" fontId="7" fillId="3" borderId="0" xfId="0" applyFont="1" applyFill="1" applyBorder="1" applyAlignment="1">
      <alignment horizontal="left"/>
    </xf>
    <xf numFmtId="1" fontId="3" fillId="3" borderId="9" xfId="0" applyNumberFormat="1" applyFont="1" applyFill="1" applyBorder="1" applyAlignment="1">
      <alignment horizontal="center"/>
    </xf>
    <xf numFmtId="166" fontId="3" fillId="3" borderId="9" xfId="0" applyNumberFormat="1" applyFont="1" applyFill="1" applyBorder="1" applyAlignment="1">
      <alignment horizontal="center"/>
    </xf>
    <xf numFmtId="0" fontId="3" fillId="3" borderId="9" xfId="0" applyFont="1" applyFill="1" applyBorder="1" applyAlignment="1" applyProtection="1">
      <alignment horizontal="center"/>
      <protection locked="0"/>
    </xf>
    <xf numFmtId="0" fontId="6" fillId="3" borderId="10" xfId="0" applyFont="1" applyFill="1" applyBorder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/>
    <xf numFmtId="15" fontId="6" fillId="0" borderId="0" xfId="0" applyNumberFormat="1" applyFont="1" applyAlignment="1">
      <alignment horizontal="left"/>
    </xf>
    <xf numFmtId="164" fontId="6" fillId="3" borderId="9" xfId="0" applyNumberFormat="1" applyFont="1" applyFill="1" applyBorder="1" applyAlignment="1" applyProtection="1">
      <alignment horizontal="center"/>
    </xf>
    <xf numFmtId="166" fontId="3" fillId="3" borderId="0" xfId="0" applyNumberFormat="1" applyFont="1" applyFill="1" applyBorder="1" applyAlignment="1" applyProtection="1">
      <alignment horizontal="center"/>
    </xf>
    <xf numFmtId="0" fontId="3" fillId="0" borderId="0" xfId="0" applyFont="1" applyAlignment="1">
      <alignment horizontal="left" shrinkToFit="1"/>
    </xf>
    <xf numFmtId="0" fontId="3" fillId="0" borderId="0" xfId="0" applyFont="1" applyAlignment="1">
      <alignment shrinkToFit="1"/>
    </xf>
    <xf numFmtId="0" fontId="3" fillId="0" borderId="0" xfId="0" applyFont="1" applyFill="1" applyBorder="1" applyAlignment="1">
      <alignment horizontal="left" shrinkToFit="1"/>
    </xf>
    <xf numFmtId="0" fontId="24" fillId="3" borderId="0" xfId="0" applyFont="1" applyFill="1" applyBorder="1"/>
    <xf numFmtId="0" fontId="0" fillId="0" borderId="19" xfId="0" applyBorder="1"/>
    <xf numFmtId="164" fontId="3" fillId="3" borderId="9" xfId="0" applyNumberFormat="1" applyFont="1" applyFill="1" applyBorder="1" applyAlignment="1" applyProtection="1">
      <alignment horizontal="center"/>
      <protection locked="0"/>
    </xf>
    <xf numFmtId="0" fontId="6" fillId="3" borderId="20" xfId="0" applyFont="1" applyFill="1" applyBorder="1" applyAlignment="1">
      <alignment horizontal="right"/>
    </xf>
    <xf numFmtId="2" fontId="3" fillId="3" borderId="21" xfId="0" applyNumberFormat="1" applyFont="1" applyFill="1" applyBorder="1" applyAlignment="1" applyProtection="1">
      <alignment horizontal="center"/>
      <protection locked="0"/>
    </xf>
    <xf numFmtId="2" fontId="6" fillId="3" borderId="16" xfId="0" applyNumberFormat="1" applyFont="1" applyFill="1" applyBorder="1" applyAlignment="1">
      <alignment horizontal="center"/>
    </xf>
    <xf numFmtId="1" fontId="6" fillId="3" borderId="16" xfId="0" applyNumberFormat="1" applyFont="1" applyFill="1" applyBorder="1" applyAlignment="1">
      <alignment horizontal="center"/>
    </xf>
    <xf numFmtId="1" fontId="6" fillId="3" borderId="9" xfId="0" applyNumberFormat="1" applyFont="1" applyFill="1" applyBorder="1" applyAlignment="1">
      <alignment horizontal="center"/>
    </xf>
    <xf numFmtId="1" fontId="6" fillId="3" borderId="0" xfId="0" applyNumberFormat="1" applyFont="1" applyFill="1" applyBorder="1" applyAlignment="1">
      <alignment horizontal="center"/>
    </xf>
    <xf numFmtId="166" fontId="6" fillId="3" borderId="9" xfId="0" applyNumberFormat="1" applyFont="1" applyFill="1" applyBorder="1" applyAlignment="1">
      <alignment horizontal="center"/>
    </xf>
    <xf numFmtId="166" fontId="3" fillId="3" borderId="21" xfId="0" applyNumberFormat="1" applyFont="1" applyFill="1" applyBorder="1" applyAlignment="1" applyProtection="1">
      <alignment horizontal="center"/>
      <protection locked="0"/>
    </xf>
    <xf numFmtId="0" fontId="5" fillId="0" borderId="0" xfId="0" applyFont="1" applyAlignment="1">
      <alignment horizontal="left"/>
    </xf>
    <xf numFmtId="167" fontId="0" fillId="6" borderId="0" xfId="0" applyNumberFormat="1" applyFill="1" applyAlignment="1">
      <alignment horizontal="left"/>
    </xf>
    <xf numFmtId="167" fontId="0" fillId="0" borderId="0" xfId="0" applyNumberFormat="1" applyAlignment="1">
      <alignment horizontal="left"/>
    </xf>
    <xf numFmtId="167" fontId="3" fillId="0" borderId="0" xfId="0" applyNumberFormat="1" applyFont="1" applyAlignment="1">
      <alignment horizontal="left"/>
    </xf>
    <xf numFmtId="0" fontId="6" fillId="3" borderId="22" xfId="0" applyFont="1" applyFill="1" applyBorder="1" applyAlignment="1">
      <alignment horizontal="left"/>
    </xf>
    <xf numFmtId="0" fontId="33" fillId="3" borderId="0" xfId="0" applyFont="1" applyFill="1" applyBorder="1" applyAlignment="1">
      <alignment horizontal="left"/>
    </xf>
    <xf numFmtId="0" fontId="34" fillId="5" borderId="8" xfId="0" applyFont="1" applyFill="1" applyBorder="1"/>
    <xf numFmtId="0" fontId="35" fillId="3" borderId="0" xfId="0" applyFont="1" applyFill="1" applyBorder="1"/>
    <xf numFmtId="0" fontId="35" fillId="5" borderId="8" xfId="0" applyFont="1" applyFill="1" applyBorder="1"/>
    <xf numFmtId="9" fontId="6" fillId="3" borderId="14" xfId="0" applyNumberFormat="1" applyFont="1" applyFill="1" applyBorder="1" applyAlignment="1">
      <alignment horizontal="center" shrinkToFit="1"/>
    </xf>
    <xf numFmtId="2" fontId="3" fillId="3" borderId="9" xfId="0" applyNumberFormat="1" applyFont="1" applyFill="1" applyBorder="1" applyAlignment="1" applyProtection="1">
      <alignment horizontal="center"/>
      <protection locked="0"/>
    </xf>
    <xf numFmtId="2" fontId="6" fillId="3" borderId="9" xfId="0" applyNumberFormat="1" applyFont="1" applyFill="1" applyBorder="1" applyAlignment="1" applyProtection="1">
      <alignment horizontal="center"/>
    </xf>
    <xf numFmtId="164" fontId="6" fillId="0" borderId="0" xfId="0" applyNumberFormat="1" applyFont="1" applyFill="1" applyAlignment="1">
      <alignment horizontal="center"/>
    </xf>
    <xf numFmtId="0" fontId="6" fillId="0" borderId="0" xfId="0" applyFont="1" applyFill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3" fillId="3" borderId="10" xfId="0" applyFont="1" applyFill="1" applyBorder="1" applyAlignment="1">
      <alignment horizontal="center" shrinkToFit="1"/>
    </xf>
    <xf numFmtId="0" fontId="36" fillId="3" borderId="9" xfId="0" applyFont="1" applyFill="1" applyBorder="1" applyAlignment="1">
      <alignment horizontal="center"/>
    </xf>
    <xf numFmtId="0" fontId="36" fillId="3" borderId="9" xfId="0" applyFont="1" applyFill="1" applyBorder="1" applyAlignment="1" applyProtection="1">
      <alignment horizontal="center"/>
    </xf>
    <xf numFmtId="166" fontId="36" fillId="3" borderId="9" xfId="0" applyNumberFormat="1" applyFont="1" applyFill="1" applyBorder="1" applyAlignment="1" applyProtection="1">
      <alignment horizontal="center"/>
    </xf>
    <xf numFmtId="0" fontId="3" fillId="4" borderId="9" xfId="0" applyFont="1" applyFill="1" applyBorder="1" applyAlignment="1">
      <alignment horizontal="center"/>
    </xf>
    <xf numFmtId="166" fontId="6" fillId="4" borderId="9" xfId="0" applyNumberFormat="1" applyFont="1" applyFill="1" applyBorder="1" applyAlignment="1">
      <alignment horizontal="center"/>
    </xf>
    <xf numFmtId="0" fontId="34" fillId="4" borderId="0" xfId="0" applyFont="1" applyFill="1" applyBorder="1"/>
    <xf numFmtId="9" fontId="0" fillId="3" borderId="12" xfId="0" applyNumberFormat="1" applyFill="1" applyBorder="1" applyAlignment="1">
      <alignment horizontal="center"/>
    </xf>
    <xf numFmtId="2" fontId="6" fillId="0" borderId="0" xfId="0" applyNumberFormat="1" applyFont="1" applyAlignment="1">
      <alignment horizontal="left"/>
    </xf>
    <xf numFmtId="0" fontId="5" fillId="4" borderId="0" xfId="0" applyFont="1" applyFill="1" applyBorder="1"/>
    <xf numFmtId="0" fontId="8" fillId="4" borderId="0" xfId="0" applyFont="1" applyFill="1" applyBorder="1"/>
    <xf numFmtId="0" fontId="35" fillId="4" borderId="0" xfId="0" applyFont="1" applyFill="1" applyBorder="1"/>
    <xf numFmtId="0" fontId="3" fillId="4" borderId="0" xfId="0" applyFont="1" applyFill="1" applyBorder="1"/>
    <xf numFmtId="0" fontId="3" fillId="3" borderId="9" xfId="0" applyFont="1" applyFill="1" applyBorder="1" applyAlignment="1" applyProtection="1">
      <alignment horizontal="center"/>
    </xf>
    <xf numFmtId="0" fontId="37" fillId="3" borderId="0" xfId="0" applyFont="1" applyFill="1" applyBorder="1"/>
    <xf numFmtId="0" fontId="3" fillId="3" borderId="0" xfId="0" applyFont="1" applyFill="1" applyBorder="1" applyAlignment="1">
      <alignment horizontal="right"/>
    </xf>
    <xf numFmtId="0" fontId="8" fillId="3" borderId="23" xfId="0" applyFont="1" applyFill="1" applyBorder="1" applyAlignment="1" applyProtection="1">
      <alignment horizontal="center"/>
      <protection locked="0"/>
    </xf>
    <xf numFmtId="0" fontId="0" fillId="0" borderId="5" xfId="0" applyBorder="1"/>
    <xf numFmtId="0" fontId="36" fillId="0" borderId="0" xfId="0" applyFont="1"/>
    <xf numFmtId="0" fontId="36" fillId="0" borderId="0" xfId="0" applyFont="1" applyAlignment="1">
      <alignment horizontal="left"/>
    </xf>
    <xf numFmtId="0" fontId="36" fillId="0" borderId="0" xfId="0" applyFont="1" applyAlignment="1">
      <alignment horizontal="center"/>
    </xf>
    <xf numFmtId="0" fontId="38" fillId="0" borderId="0" xfId="0" applyFont="1" applyAlignment="1">
      <alignment horizontal="left"/>
    </xf>
    <xf numFmtId="0" fontId="38" fillId="0" borderId="0" xfId="0" applyFont="1"/>
    <xf numFmtId="2" fontId="38" fillId="0" borderId="0" xfId="0" applyNumberFormat="1" applyFont="1" applyAlignment="1">
      <alignment horizontal="left"/>
    </xf>
    <xf numFmtId="0" fontId="8" fillId="3" borderId="12" xfId="0" applyFont="1" applyFill="1" applyBorder="1" applyAlignment="1" applyProtection="1">
      <alignment horizontal="center" vertical="center" shrinkToFit="1"/>
      <protection locked="0"/>
    </xf>
    <xf numFmtId="0" fontId="8" fillId="3" borderId="9" xfId="0" applyFont="1" applyFill="1" applyBorder="1" applyAlignment="1" applyProtection="1">
      <alignment horizontal="center" vertical="center"/>
      <protection locked="0"/>
    </xf>
    <xf numFmtId="0" fontId="33" fillId="3" borderId="0" xfId="0" applyFont="1" applyFill="1" applyBorder="1"/>
    <xf numFmtId="0" fontId="7" fillId="5" borderId="8" xfId="0" applyFont="1" applyFill="1" applyBorder="1" applyAlignment="1">
      <alignment horizontal="right"/>
    </xf>
    <xf numFmtId="164" fontId="6" fillId="0" borderId="0" xfId="0" applyNumberFormat="1" applyFont="1" applyAlignment="1">
      <alignment horizontal="left"/>
    </xf>
    <xf numFmtId="164" fontId="6" fillId="6" borderId="0" xfId="0" applyNumberFormat="1" applyFont="1" applyFill="1" applyAlignment="1">
      <alignment horizontal="left"/>
    </xf>
    <xf numFmtId="15" fontId="0" fillId="0" borderId="0" xfId="0" applyNumberFormat="1" applyFont="1" applyAlignment="1">
      <alignment horizontal="left"/>
    </xf>
    <xf numFmtId="0" fontId="6" fillId="0" borderId="0" xfId="0" quotePrefix="1" applyFont="1"/>
    <xf numFmtId="166" fontId="0" fillId="3" borderId="9" xfId="0" applyNumberFormat="1" applyFill="1" applyBorder="1" applyAlignment="1" applyProtection="1">
      <alignment horizontal="center"/>
    </xf>
    <xf numFmtId="0" fontId="0" fillId="7" borderId="24" xfId="0" applyFill="1" applyBorder="1"/>
    <xf numFmtId="0" fontId="5" fillId="7" borderId="25" xfId="0" applyFont="1" applyFill="1" applyBorder="1"/>
    <xf numFmtId="0" fontId="0" fillId="7" borderId="25" xfId="0" applyFill="1" applyBorder="1"/>
    <xf numFmtId="0" fontId="8" fillId="7" borderId="25" xfId="0" applyFont="1" applyFill="1" applyBorder="1"/>
    <xf numFmtId="0" fontId="0" fillId="7" borderId="26" xfId="0" applyFill="1" applyBorder="1"/>
    <xf numFmtId="0" fontId="0" fillId="7" borderId="27" xfId="0" applyFill="1" applyBorder="1"/>
    <xf numFmtId="0" fontId="8" fillId="7" borderId="0" xfId="0" applyFont="1" applyFill="1" applyBorder="1"/>
    <xf numFmtId="0" fontId="0" fillId="7" borderId="0" xfId="0" applyFill="1"/>
    <xf numFmtId="0" fontId="3" fillId="7" borderId="0" xfId="0" applyFont="1" applyFill="1" applyBorder="1"/>
    <xf numFmtId="0" fontId="0" fillId="7" borderId="0" xfId="0" applyFill="1" applyBorder="1"/>
    <xf numFmtId="0" fontId="0" fillId="7" borderId="28" xfId="0" applyFill="1" applyBorder="1"/>
    <xf numFmtId="0" fontId="5" fillId="7" borderId="0" xfId="0" applyFont="1" applyFill="1" applyBorder="1"/>
    <xf numFmtId="0" fontId="0" fillId="7" borderId="29" xfId="0" applyFill="1" applyBorder="1"/>
    <xf numFmtId="0" fontId="0" fillId="7" borderId="30" xfId="0" applyFill="1" applyBorder="1"/>
    <xf numFmtId="0" fontId="0" fillId="7" borderId="31" xfId="0" applyFill="1" applyBorder="1"/>
    <xf numFmtId="0" fontId="0" fillId="8" borderId="0" xfId="0" applyFill="1" applyBorder="1"/>
    <xf numFmtId="0" fontId="6" fillId="4" borderId="0" xfId="0" applyFont="1" applyFill="1" applyBorder="1" applyAlignment="1">
      <alignment horizontal="left"/>
    </xf>
    <xf numFmtId="0" fontId="0" fillId="4" borderId="0" xfId="0" applyFill="1" applyBorder="1" applyAlignment="1">
      <alignment horizontal="center"/>
    </xf>
    <xf numFmtId="0" fontId="6" fillId="4" borderId="0" xfId="0" applyFont="1" applyFill="1" applyBorder="1" applyAlignment="1">
      <alignment horizontal="center"/>
    </xf>
    <xf numFmtId="0" fontId="0" fillId="8" borderId="0" xfId="0" applyFill="1" applyBorder="1" applyAlignment="1">
      <alignment horizontal="center"/>
    </xf>
    <xf numFmtId="166" fontId="6" fillId="8" borderId="0" xfId="0" applyNumberFormat="1" applyFont="1" applyFill="1" applyBorder="1" applyAlignment="1">
      <alignment horizontal="center"/>
    </xf>
    <xf numFmtId="0" fontId="0" fillId="3" borderId="24" xfId="0" applyFill="1" applyBorder="1"/>
    <xf numFmtId="0" fontId="0" fillId="3" borderId="25" xfId="0" applyFill="1" applyBorder="1"/>
    <xf numFmtId="0" fontId="0" fillId="4" borderId="26" xfId="0" applyFill="1" applyBorder="1"/>
    <xf numFmtId="0" fontId="0" fillId="3" borderId="27" xfId="0" applyFill="1" applyBorder="1"/>
    <xf numFmtId="0" fontId="0" fillId="4" borderId="28" xfId="0" applyFill="1" applyBorder="1"/>
    <xf numFmtId="0" fontId="6" fillId="4" borderId="28" xfId="0" applyFont="1" applyFill="1" applyBorder="1" applyAlignment="1">
      <alignment horizontal="left"/>
    </xf>
    <xf numFmtId="0" fontId="0" fillId="4" borderId="27" xfId="0" applyFill="1" applyBorder="1"/>
    <xf numFmtId="0" fontId="8" fillId="4" borderId="28" xfId="0" applyFont="1" applyFill="1" applyBorder="1" applyAlignment="1">
      <alignment horizontal="center"/>
    </xf>
    <xf numFmtId="0" fontId="0" fillId="4" borderId="28" xfId="0" applyFill="1" applyBorder="1" applyAlignment="1">
      <alignment horizontal="center"/>
    </xf>
    <xf numFmtId="0" fontId="6" fillId="4" borderId="28" xfId="0" applyFont="1" applyFill="1" applyBorder="1" applyAlignment="1">
      <alignment horizontal="center"/>
    </xf>
    <xf numFmtId="0" fontId="39" fillId="3" borderId="0" xfId="0" applyFont="1" applyFill="1" applyBorder="1"/>
    <xf numFmtId="0" fontId="6" fillId="4" borderId="28" xfId="0" applyFont="1" applyFill="1" applyBorder="1"/>
    <xf numFmtId="0" fontId="3" fillId="4" borderId="28" xfId="0" applyFont="1" applyFill="1" applyBorder="1" applyAlignment="1">
      <alignment horizontal="center"/>
    </xf>
    <xf numFmtId="166" fontId="3" fillId="4" borderId="28" xfId="0" applyNumberFormat="1" applyFont="1" applyFill="1" applyBorder="1" applyAlignment="1" applyProtection="1">
      <alignment horizontal="center"/>
    </xf>
    <xf numFmtId="0" fontId="18" fillId="3" borderId="27" xfId="0" applyFont="1" applyFill="1" applyBorder="1" applyAlignment="1">
      <alignment horizontal="center"/>
    </xf>
    <xf numFmtId="0" fontId="8" fillId="4" borderId="28" xfId="0" applyFont="1" applyFill="1" applyBorder="1"/>
    <xf numFmtId="0" fontId="11" fillId="3" borderId="0" xfId="0" applyFont="1" applyFill="1" applyBorder="1"/>
    <xf numFmtId="0" fontId="21" fillId="4" borderId="0" xfId="0" applyFont="1" applyFill="1" applyBorder="1" applyAlignment="1">
      <alignment horizontal="center"/>
    </xf>
    <xf numFmtId="166" fontId="0" fillId="4" borderId="0" xfId="0" applyNumberFormat="1" applyFill="1" applyBorder="1" applyAlignment="1">
      <alignment horizontal="center"/>
    </xf>
    <xf numFmtId="0" fontId="4" fillId="4" borderId="0" xfId="0" applyFont="1" applyFill="1" applyBorder="1" applyAlignment="1">
      <alignment horizontal="center"/>
    </xf>
    <xf numFmtId="0" fontId="3" fillId="4" borderId="0" xfId="0" applyFont="1" applyFill="1" applyBorder="1" applyAlignment="1">
      <alignment horizontal="right"/>
    </xf>
    <xf numFmtId="0" fontId="6" fillId="0" borderId="0" xfId="0" applyFont="1" applyBorder="1" applyAlignment="1">
      <alignment horizontal="center"/>
    </xf>
    <xf numFmtId="2" fontId="6" fillId="4" borderId="28" xfId="0" applyNumberFormat="1" applyFont="1" applyFill="1" applyBorder="1" applyAlignment="1">
      <alignment horizontal="center"/>
    </xf>
    <xf numFmtId="0" fontId="6" fillId="4" borderId="28" xfId="0" applyFont="1" applyFill="1" applyBorder="1" applyAlignment="1" applyProtection="1">
      <alignment horizontal="left"/>
      <protection locked="0"/>
    </xf>
    <xf numFmtId="0" fontId="7" fillId="3" borderId="0" xfId="0" applyFont="1" applyFill="1" applyBorder="1" applyAlignment="1">
      <alignment horizontal="center"/>
    </xf>
    <xf numFmtId="9" fontId="6" fillId="4" borderId="28" xfId="0" applyNumberFormat="1" applyFont="1" applyFill="1" applyBorder="1" applyAlignment="1">
      <alignment horizontal="center" shrinkToFit="1"/>
    </xf>
    <xf numFmtId="166" fontId="3" fillId="4" borderId="28" xfId="0" applyNumberFormat="1" applyFont="1" applyFill="1" applyBorder="1" applyAlignment="1">
      <alignment horizontal="center"/>
    </xf>
    <xf numFmtId="0" fontId="36" fillId="3" borderId="0" xfId="0" applyFont="1" applyFill="1" applyBorder="1"/>
    <xf numFmtId="0" fontId="14" fillId="3" borderId="0" xfId="0" applyFont="1" applyFill="1" applyBorder="1" applyAlignment="1">
      <alignment horizontal="center"/>
    </xf>
    <xf numFmtId="0" fontId="6" fillId="3" borderId="27" xfId="0" applyFont="1" applyFill="1" applyBorder="1"/>
    <xf numFmtId="0" fontId="6" fillId="3" borderId="29" xfId="0" applyFont="1" applyFill="1" applyBorder="1"/>
    <xf numFmtId="0" fontId="6" fillId="3" borderId="30" xfId="0" applyFont="1" applyFill="1" applyBorder="1"/>
    <xf numFmtId="166" fontId="6" fillId="3" borderId="30" xfId="0" applyNumberFormat="1" applyFont="1" applyFill="1" applyBorder="1" applyAlignment="1">
      <alignment horizontal="center"/>
    </xf>
    <xf numFmtId="0" fontId="3" fillId="3" borderId="30" xfId="0" applyFont="1" applyFill="1" applyBorder="1" applyAlignment="1">
      <alignment horizontal="center"/>
    </xf>
    <xf numFmtId="0" fontId="6" fillId="3" borderId="31" xfId="0" applyFont="1" applyFill="1" applyBorder="1"/>
    <xf numFmtId="0" fontId="40" fillId="0" borderId="0" xfId="0" applyFont="1" applyAlignment="1">
      <alignment horizontal="left"/>
    </xf>
    <xf numFmtId="168" fontId="40" fillId="0" borderId="0" xfId="0" applyNumberFormat="1" applyFont="1" applyAlignment="1">
      <alignment horizontal="left"/>
    </xf>
    <xf numFmtId="0" fontId="40" fillId="0" borderId="0" xfId="0" applyFont="1"/>
    <xf numFmtId="168" fontId="40" fillId="0" borderId="0" xfId="0" applyNumberFormat="1" applyFont="1" applyAlignment="1">
      <alignment horizontal="left" shrinkToFit="1"/>
    </xf>
    <xf numFmtId="0" fontId="7" fillId="3" borderId="0" xfId="0" applyFont="1" applyFill="1" applyBorder="1" applyAlignment="1">
      <alignment vertical="top"/>
    </xf>
    <xf numFmtId="166" fontId="41" fillId="3" borderId="27" xfId="0" applyNumberFormat="1" applyFont="1" applyFill="1" applyBorder="1" applyAlignment="1">
      <alignment horizontal="center"/>
    </xf>
    <xf numFmtId="166" fontId="6" fillId="4" borderId="0" xfId="0" applyNumberFormat="1" applyFont="1" applyFill="1" applyBorder="1" applyAlignment="1">
      <alignment horizontal="center"/>
    </xf>
    <xf numFmtId="0" fontId="3" fillId="4" borderId="0" xfId="0" applyFont="1" applyFill="1" applyBorder="1" applyAlignment="1">
      <alignment horizontal="center"/>
    </xf>
    <xf numFmtId="0" fontId="33" fillId="4" borderId="0" xfId="0" applyFont="1" applyFill="1" applyBorder="1"/>
    <xf numFmtId="0" fontId="6" fillId="6" borderId="19" xfId="0" applyFont="1" applyFill="1" applyBorder="1" applyAlignment="1">
      <alignment horizontal="left"/>
    </xf>
    <xf numFmtId="9" fontId="6" fillId="3" borderId="0" xfId="0" applyNumberFormat="1" applyFont="1" applyFill="1" applyBorder="1" applyAlignment="1">
      <alignment horizontal="center" shrinkToFit="1"/>
    </xf>
    <xf numFmtId="166" fontId="3" fillId="3" borderId="0" xfId="0" applyNumberFormat="1" applyFont="1" applyFill="1" applyBorder="1" applyAlignment="1">
      <alignment horizontal="center"/>
    </xf>
    <xf numFmtId="0" fontId="6" fillId="0" borderId="19" xfId="0" applyFont="1" applyFill="1" applyBorder="1" applyAlignment="1">
      <alignment horizontal="left"/>
    </xf>
    <xf numFmtId="0" fontId="0" fillId="0" borderId="0" xfId="0" applyFill="1"/>
    <xf numFmtId="0" fontId="6" fillId="0" borderId="0" xfId="0" applyFont="1" applyFill="1"/>
    <xf numFmtId="2" fontId="0" fillId="0" borderId="0" xfId="0" applyNumberFormat="1" applyFill="1" applyAlignment="1">
      <alignment horizontal="left"/>
    </xf>
    <xf numFmtId="0" fontId="3" fillId="4" borderId="0" xfId="0" applyFont="1" applyFill="1" applyAlignment="1">
      <alignment horizontal="right"/>
    </xf>
    <xf numFmtId="0" fontId="10" fillId="3" borderId="0" xfId="0" applyFont="1" applyFill="1" applyBorder="1" applyAlignment="1">
      <alignment horizontal="right"/>
    </xf>
    <xf numFmtId="0" fontId="0" fillId="0" borderId="7" xfId="0" applyBorder="1"/>
    <xf numFmtId="0" fontId="33" fillId="3" borderId="5" xfId="0" applyFont="1" applyFill="1" applyBorder="1"/>
    <xf numFmtId="167" fontId="3" fillId="3" borderId="4" xfId="0" applyNumberFormat="1" applyFont="1" applyFill="1" applyBorder="1" applyAlignment="1" applyProtection="1">
      <alignment horizontal="left"/>
      <protection locked="0"/>
    </xf>
    <xf numFmtId="0" fontId="0" fillId="3" borderId="32" xfId="0" applyFill="1" applyBorder="1" applyAlignment="1"/>
    <xf numFmtId="0" fontId="0" fillId="3" borderId="33" xfId="0" applyFill="1" applyBorder="1" applyAlignment="1"/>
    <xf numFmtId="0" fontId="42" fillId="4" borderId="15" xfId="0" applyFont="1" applyFill="1" applyBorder="1" applyAlignment="1" applyProtection="1">
      <alignment horizontal="left"/>
    </xf>
    <xf numFmtId="0" fontId="0" fillId="4" borderId="15" xfId="0" applyFill="1" applyBorder="1"/>
    <xf numFmtId="164" fontId="0" fillId="0" borderId="0" xfId="0" applyNumberFormat="1"/>
    <xf numFmtId="165" fontId="0" fillId="0" borderId="0" xfId="0" applyNumberFormat="1"/>
    <xf numFmtId="0" fontId="6" fillId="0" borderId="0" xfId="0" applyFont="1" applyAlignment="1">
      <alignment wrapText="1"/>
    </xf>
    <xf numFmtId="0" fontId="0" fillId="3" borderId="0" xfId="0" applyFill="1"/>
    <xf numFmtId="0" fontId="5" fillId="3" borderId="0" xfId="0" applyFont="1" applyFill="1" applyAlignment="1">
      <alignment horizontal="right"/>
    </xf>
    <xf numFmtId="164" fontId="3" fillId="3" borderId="9" xfId="0" applyNumberFormat="1" applyFont="1" applyFill="1" applyBorder="1" applyAlignment="1">
      <alignment horizontal="center"/>
    </xf>
    <xf numFmtId="0" fontId="0" fillId="4" borderId="0" xfId="0" applyFill="1"/>
    <xf numFmtId="0" fontId="3" fillId="3" borderId="0" xfId="0" applyFont="1" applyFill="1" applyAlignment="1">
      <alignment horizontal="right"/>
    </xf>
    <xf numFmtId="0" fontId="3" fillId="3" borderId="9" xfId="0" applyFont="1" applyFill="1" applyBorder="1" applyAlignment="1" applyProtection="1">
      <alignment horizontal="center" shrinkToFit="1"/>
      <protection locked="0"/>
    </xf>
    <xf numFmtId="0" fontId="0" fillId="3" borderId="0" xfId="0" applyFill="1" applyAlignment="1">
      <alignment horizontal="left"/>
    </xf>
    <xf numFmtId="0" fontId="6" fillId="3" borderId="0" xfId="0" applyFont="1" applyFill="1"/>
    <xf numFmtId="0" fontId="3" fillId="3" borderId="0" xfId="0" applyFont="1" applyFill="1"/>
    <xf numFmtId="0" fontId="35" fillId="3" borderId="0" xfId="0" applyFont="1" applyFill="1"/>
    <xf numFmtId="0" fontId="0" fillId="3" borderId="0" xfId="0" applyFill="1" applyAlignment="1">
      <alignment horizontal="center"/>
    </xf>
    <xf numFmtId="2" fontId="3" fillId="3" borderId="12" xfId="0" applyNumberFormat="1" applyFont="1" applyFill="1" applyBorder="1" applyAlignment="1" applyProtection="1">
      <alignment horizontal="center"/>
      <protection locked="0"/>
    </xf>
    <xf numFmtId="164" fontId="3" fillId="3" borderId="12" xfId="0" applyNumberFormat="1" applyFont="1" applyFill="1" applyBorder="1" applyAlignment="1" applyProtection="1">
      <alignment horizontal="center"/>
      <protection locked="0"/>
    </xf>
    <xf numFmtId="0" fontId="6" fillId="3" borderId="0" xfId="0" applyFont="1" applyFill="1" applyAlignment="1">
      <alignment horizontal="left"/>
    </xf>
    <xf numFmtId="0" fontId="6" fillId="3" borderId="0" xfId="0" applyFont="1" applyFill="1" applyAlignment="1">
      <alignment horizontal="center"/>
    </xf>
    <xf numFmtId="2" fontId="6" fillId="3" borderId="0" xfId="0" applyNumberFormat="1" applyFont="1" applyFill="1" applyAlignment="1">
      <alignment horizontal="center"/>
    </xf>
    <xf numFmtId="2" fontId="3" fillId="3" borderId="0" xfId="0" applyNumberFormat="1" applyFont="1" applyFill="1" applyAlignment="1" applyProtection="1">
      <alignment horizontal="center"/>
      <protection locked="0"/>
    </xf>
    <xf numFmtId="0" fontId="3" fillId="3" borderId="0" xfId="0" applyFont="1" applyFill="1" applyAlignment="1">
      <alignment horizontal="center"/>
    </xf>
    <xf numFmtId="0" fontId="6" fillId="4" borderId="9" xfId="0" applyFont="1" applyFill="1" applyBorder="1" applyAlignment="1">
      <alignment horizontal="center"/>
    </xf>
    <xf numFmtId="0" fontId="42" fillId="4" borderId="15" xfId="0" applyFont="1" applyFill="1" applyBorder="1" applyAlignment="1">
      <alignment horizontal="left"/>
    </xf>
    <xf numFmtId="164" fontId="3" fillId="3" borderId="9" xfId="0" applyNumberFormat="1" applyFont="1" applyFill="1" applyBorder="1" applyAlignment="1" applyProtection="1">
      <alignment horizontal="center"/>
    </xf>
    <xf numFmtId="0" fontId="7" fillId="3" borderId="37" xfId="0" applyFont="1" applyFill="1" applyBorder="1" applyAlignment="1" applyProtection="1">
      <alignment horizontal="left" vertical="top" wrapText="1"/>
      <protection locked="0"/>
    </xf>
    <xf numFmtId="0" fontId="7" fillId="3" borderId="15" xfId="0" applyFont="1" applyFill="1" applyBorder="1" applyAlignment="1" applyProtection="1">
      <alignment horizontal="left" vertical="top" wrapText="1"/>
      <protection locked="0"/>
    </xf>
    <xf numFmtId="0" fontId="7" fillId="3" borderId="38" xfId="0" applyFont="1" applyFill="1" applyBorder="1" applyAlignment="1" applyProtection="1">
      <alignment horizontal="left" vertical="top" wrapText="1"/>
      <protection locked="0"/>
    </xf>
    <xf numFmtId="0" fontId="7" fillId="3" borderId="13" xfId="0" applyFont="1" applyFill="1" applyBorder="1" applyAlignment="1" applyProtection="1">
      <alignment horizontal="left" vertical="top" wrapText="1"/>
      <protection locked="0"/>
    </xf>
    <xf numFmtId="0" fontId="7" fillId="3" borderId="8" xfId="0" applyFont="1" applyFill="1" applyBorder="1" applyAlignment="1" applyProtection="1">
      <alignment horizontal="left" vertical="top" wrapText="1"/>
      <protection locked="0"/>
    </xf>
    <xf numFmtId="0" fontId="7" fillId="3" borderId="39" xfId="0" applyFont="1" applyFill="1" applyBorder="1" applyAlignment="1" applyProtection="1">
      <alignment horizontal="left" vertical="top" wrapText="1"/>
      <protection locked="0"/>
    </xf>
    <xf numFmtId="2" fontId="6" fillId="3" borderId="16" xfId="0" applyNumberFormat="1" applyFont="1" applyFill="1" applyBorder="1" applyAlignment="1" applyProtection="1">
      <alignment horizontal="left"/>
      <protection locked="0"/>
    </xf>
    <xf numFmtId="2" fontId="6" fillId="3" borderId="34" xfId="0" applyNumberFormat="1" applyFont="1" applyFill="1" applyBorder="1" applyAlignment="1" applyProtection="1">
      <alignment horizontal="left"/>
      <protection locked="0"/>
    </xf>
    <xf numFmtId="2" fontId="6" fillId="3" borderId="21" xfId="0" applyNumberFormat="1" applyFont="1" applyFill="1" applyBorder="1" applyAlignment="1" applyProtection="1">
      <alignment horizontal="left"/>
      <protection locked="0"/>
    </xf>
    <xf numFmtId="0" fontId="5" fillId="3" borderId="16" xfId="0" applyFont="1" applyFill="1" applyBorder="1" applyAlignment="1" applyProtection="1">
      <protection locked="0"/>
    </xf>
    <xf numFmtId="0" fontId="0" fillId="3" borderId="34" xfId="0" applyFill="1" applyBorder="1" applyAlignment="1" applyProtection="1">
      <protection locked="0"/>
    </xf>
    <xf numFmtId="0" fontId="0" fillId="3" borderId="21" xfId="0" applyFill="1" applyBorder="1" applyAlignment="1" applyProtection="1">
      <protection locked="0"/>
    </xf>
    <xf numFmtId="0" fontId="42" fillId="10" borderId="32" xfId="0" applyFont="1" applyFill="1" applyBorder="1" applyAlignment="1" applyProtection="1">
      <alignment horizontal="left" vertical="top" wrapText="1" indent="1"/>
      <protection locked="0"/>
    </xf>
    <xf numFmtId="0" fontId="42" fillId="10" borderId="15" xfId="0" applyFont="1" applyFill="1" applyBorder="1" applyAlignment="1" applyProtection="1">
      <alignment horizontal="left" vertical="top" wrapText="1" indent="1"/>
      <protection locked="0"/>
    </xf>
    <xf numFmtId="0" fontId="42" fillId="10" borderId="33" xfId="0" applyFont="1" applyFill="1" applyBorder="1" applyAlignment="1" applyProtection="1">
      <alignment horizontal="left" vertical="top" wrapText="1" indent="1"/>
      <protection locked="0"/>
    </xf>
    <xf numFmtId="0" fontId="42" fillId="10" borderId="5" xfId="0" applyFont="1" applyFill="1" applyBorder="1" applyAlignment="1" applyProtection="1">
      <alignment horizontal="left" vertical="top" wrapText="1" indent="1"/>
      <protection locked="0"/>
    </xf>
    <xf numFmtId="0" fontId="42" fillId="10" borderId="0" xfId="0" applyFont="1" applyFill="1" applyBorder="1" applyAlignment="1" applyProtection="1">
      <alignment horizontal="left" vertical="top" wrapText="1" indent="1"/>
      <protection locked="0"/>
    </xf>
    <xf numFmtId="0" fontId="42" fillId="10" borderId="4" xfId="0" applyFont="1" applyFill="1" applyBorder="1" applyAlignment="1" applyProtection="1">
      <alignment horizontal="left" vertical="top" wrapText="1" indent="1"/>
      <protection locked="0"/>
    </xf>
    <xf numFmtId="0" fontId="42" fillId="10" borderId="40" xfId="0" applyFont="1" applyFill="1" applyBorder="1" applyAlignment="1" applyProtection="1">
      <alignment horizontal="left" vertical="top" wrapText="1" indent="1"/>
      <protection locked="0"/>
    </xf>
    <xf numFmtId="0" fontId="42" fillId="10" borderId="8" xfId="0" applyFont="1" applyFill="1" applyBorder="1" applyAlignment="1" applyProtection="1">
      <alignment horizontal="left" vertical="top" wrapText="1" indent="1"/>
      <protection locked="0"/>
    </xf>
    <xf numFmtId="0" fontId="42" fillId="10" borderId="41" xfId="0" applyFont="1" applyFill="1" applyBorder="1" applyAlignment="1" applyProtection="1">
      <alignment horizontal="left" vertical="top" wrapText="1" indent="1"/>
      <protection locked="0"/>
    </xf>
    <xf numFmtId="0" fontId="0" fillId="9" borderId="8" xfId="0" applyFill="1" applyBorder="1" applyAlignment="1"/>
    <xf numFmtId="0" fontId="10" fillId="3" borderId="35" xfId="0" applyFont="1" applyFill="1" applyBorder="1" applyAlignment="1" applyProtection="1">
      <alignment horizontal="center"/>
      <protection locked="0"/>
    </xf>
    <xf numFmtId="0" fontId="31" fillId="0" borderId="36" xfId="0" applyFont="1" applyBorder="1" applyAlignment="1"/>
    <xf numFmtId="0" fontId="10" fillId="3" borderId="8" xfId="0" applyFont="1" applyFill="1" applyBorder="1" applyAlignment="1" applyProtection="1">
      <alignment shrinkToFit="1"/>
      <protection locked="0"/>
    </xf>
    <xf numFmtId="0" fontId="0" fillId="0" borderId="8" xfId="0" applyBorder="1" applyAlignment="1">
      <alignment shrinkToFit="1"/>
    </xf>
    <xf numFmtId="49" fontId="3" fillId="3" borderId="16" xfId="0" applyNumberFormat="1" applyFont="1" applyFill="1" applyBorder="1" applyAlignment="1" applyProtection="1">
      <alignment horizontal="left"/>
      <protection locked="0"/>
    </xf>
    <xf numFmtId="49" fontId="3" fillId="3" borderId="21" xfId="0" applyNumberFormat="1" applyFont="1" applyFill="1" applyBorder="1" applyAlignment="1" applyProtection="1">
      <alignment horizontal="left"/>
      <protection locked="0"/>
    </xf>
    <xf numFmtId="0" fontId="43" fillId="8" borderId="0" xfId="0" applyFont="1" applyFill="1" applyBorder="1" applyAlignment="1">
      <alignment horizontal="center" vertical="center"/>
    </xf>
    <xf numFmtId="0" fontId="7" fillId="8" borderId="0" xfId="0" applyFont="1" applyFill="1" applyBorder="1" applyAlignment="1">
      <alignment horizontal="center" vertical="center"/>
    </xf>
    <xf numFmtId="0" fontId="7" fillId="3" borderId="13" xfId="0" applyFont="1" applyFill="1" applyBorder="1" applyAlignment="1" applyProtection="1">
      <alignment horizontal="left" vertical="top"/>
      <protection locked="0"/>
    </xf>
    <xf numFmtId="0" fontId="0" fillId="0" borderId="8" xfId="0" applyBorder="1" applyAlignment="1" applyProtection="1">
      <alignment horizontal="left" vertical="top"/>
      <protection locked="0"/>
    </xf>
    <xf numFmtId="0" fontId="0" fillId="0" borderId="39" xfId="0" applyBorder="1" applyAlignment="1" applyProtection="1">
      <alignment horizontal="left" vertical="top"/>
      <protection locked="0"/>
    </xf>
    <xf numFmtId="0" fontId="7" fillId="9" borderId="16" xfId="0" applyFont="1" applyFill="1" applyBorder="1" applyAlignment="1" applyProtection="1">
      <alignment horizontal="left"/>
      <protection locked="0"/>
    </xf>
    <xf numFmtId="0" fontId="7" fillId="9" borderId="34" xfId="0" applyFont="1" applyFill="1" applyBorder="1" applyAlignment="1" applyProtection="1">
      <alignment horizontal="left"/>
      <protection locked="0"/>
    </xf>
    <xf numFmtId="0" fontId="7" fillId="9" borderId="21" xfId="0" applyFont="1" applyFill="1" applyBorder="1" applyAlignment="1" applyProtection="1">
      <alignment horizontal="left"/>
      <protection locked="0"/>
    </xf>
    <xf numFmtId="0" fontId="7" fillId="3" borderId="37" xfId="0" applyFont="1" applyFill="1" applyBorder="1" applyAlignment="1" applyProtection="1">
      <alignment horizontal="left" vertical="top"/>
      <protection locked="0"/>
    </xf>
    <xf numFmtId="0" fontId="0" fillId="0" borderId="15" xfId="0" applyBorder="1" applyAlignment="1" applyProtection="1">
      <alignment horizontal="left" vertical="top"/>
      <protection locked="0"/>
    </xf>
    <xf numFmtId="0" fontId="0" fillId="0" borderId="38" xfId="0" applyBorder="1" applyAlignment="1" applyProtection="1">
      <alignment horizontal="left" vertical="top"/>
      <protection locked="0"/>
    </xf>
    <xf numFmtId="0" fontId="6" fillId="0" borderId="34" xfId="0" applyFont="1" applyBorder="1" applyAlignment="1" applyProtection="1">
      <alignment horizontal="left"/>
      <protection locked="0"/>
    </xf>
    <xf numFmtId="0" fontId="6" fillId="0" borderId="21" xfId="0" applyFont="1" applyBorder="1" applyAlignment="1" applyProtection="1">
      <alignment horizontal="left"/>
      <protection locked="0"/>
    </xf>
    <xf numFmtId="0" fontId="0" fillId="9" borderId="8" xfId="0" applyFill="1" applyBorder="1"/>
    <xf numFmtId="0" fontId="0" fillId="0" borderId="8" xfId="0" applyBorder="1"/>
  </cellXfs>
  <cellStyles count="1">
    <cellStyle name="Normal" xfId="0" builtinId="0"/>
  </cellStyles>
  <dxfs count="88">
    <dxf>
      <fill>
        <patternFill>
          <bgColor indexed="42"/>
        </patternFill>
      </fill>
    </dxf>
    <dxf>
      <fill>
        <patternFill>
          <bgColor indexed="42"/>
        </patternFill>
      </fill>
    </dxf>
    <dxf>
      <font>
        <b/>
        <color rgb="FFFF0000"/>
      </font>
    </dxf>
    <dxf>
      <fill>
        <patternFill>
          <bgColor indexed="42"/>
        </patternFill>
      </fill>
    </dxf>
    <dxf>
      <font>
        <b/>
        <i val="0"/>
        <color rgb="FFFF9900"/>
      </font>
    </dxf>
    <dxf>
      <font>
        <b/>
        <i val="0"/>
        <color rgb="FFFF0000"/>
      </font>
    </dxf>
    <dxf>
      <fill>
        <patternFill>
          <bgColor indexed="42"/>
        </patternFill>
      </fill>
    </dxf>
    <dxf>
      <font>
        <b/>
        <i val="0"/>
        <color rgb="FFFF9900"/>
      </font>
    </dxf>
    <dxf>
      <font>
        <b/>
        <i val="0"/>
        <color rgb="FFFF0000"/>
      </font>
    </dxf>
    <dxf>
      <fill>
        <patternFill>
          <bgColor indexed="42"/>
        </patternFill>
      </fill>
    </dxf>
    <dxf>
      <font>
        <b/>
        <i val="0"/>
        <color rgb="FFFF9900"/>
      </font>
    </dxf>
    <dxf>
      <font>
        <b/>
        <i val="0"/>
        <color rgb="FFFF0000"/>
      </font>
    </dxf>
    <dxf>
      <fill>
        <patternFill>
          <bgColor rgb="FFFFFF99"/>
        </patternFill>
      </fill>
    </dxf>
    <dxf>
      <font>
        <b/>
        <i val="0"/>
        <strike val="0"/>
        <color rgb="FFFF0000"/>
      </font>
    </dxf>
    <dxf>
      <font>
        <b/>
        <i val="0"/>
        <strike val="0"/>
        <color theme="9"/>
      </font>
    </dxf>
    <dxf>
      <fill>
        <patternFill>
          <bgColor rgb="FFCCFFCC"/>
        </patternFill>
      </fill>
    </dxf>
    <dxf>
      <fill>
        <patternFill>
          <bgColor indexed="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indexed="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indexed="42"/>
        </patternFill>
      </fill>
    </dxf>
    <dxf>
      <font>
        <condense val="0"/>
        <extend val="0"/>
        <color indexed="10"/>
      </font>
    </dxf>
    <dxf>
      <fill>
        <patternFill>
          <bgColor indexed="42"/>
        </patternFill>
      </fill>
    </dxf>
    <dxf>
      <fill>
        <patternFill>
          <bgColor rgb="FFCCFFCC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9900"/>
      </font>
    </dxf>
    <dxf>
      <font>
        <b val="0"/>
        <i val="0"/>
        <color rgb="FFFF0000"/>
      </font>
    </dxf>
    <dxf>
      <font>
        <b/>
        <i val="0"/>
        <color rgb="FFFF0000"/>
      </font>
    </dxf>
    <dxf>
      <font>
        <b/>
        <i val="0"/>
        <condense val="0"/>
        <extend val="0"/>
        <color indexed="10"/>
      </font>
    </dxf>
    <dxf>
      <font>
        <strike val="0"/>
      </font>
      <fill>
        <patternFill patternType="solid">
          <fgColor indexed="64"/>
          <bgColor rgb="FFCCFFCC"/>
        </patternFill>
      </fill>
    </dxf>
    <dxf>
      <font>
        <color rgb="FFFF0000"/>
      </font>
    </dxf>
    <dxf>
      <fill>
        <patternFill>
          <bgColor rgb="FFCCFFCC"/>
        </patternFill>
      </fill>
    </dxf>
    <dxf>
      <font>
        <strike val="0"/>
      </font>
      <fill>
        <patternFill>
          <bgColor rgb="FFCCFFCC"/>
        </patternFill>
      </fill>
    </dxf>
    <dxf>
      <font>
        <b/>
        <i val="0"/>
        <color auto="1"/>
      </font>
      <fill>
        <patternFill>
          <fgColor rgb="FFCCFFCC"/>
          <bgColor rgb="FFCCFFCC"/>
        </patternFill>
      </fill>
    </dxf>
    <dxf>
      <font>
        <condense val="0"/>
        <extend val="0"/>
        <color auto="1"/>
      </font>
      <fill>
        <patternFill>
          <bgColor indexed="42"/>
        </patternFill>
      </fill>
    </dxf>
    <dxf>
      <fill>
        <patternFill>
          <bgColor indexed="42"/>
        </patternFill>
      </fill>
    </dxf>
    <dxf>
      <font>
        <b/>
        <i val="0"/>
        <strike val="0"/>
        <color rgb="FFFF0000"/>
      </font>
    </dxf>
    <dxf>
      <font>
        <b/>
        <i val="0"/>
        <strike val="0"/>
        <color theme="9"/>
      </font>
    </dxf>
    <dxf>
      <fill>
        <patternFill>
          <bgColor rgb="FFCCFFCC"/>
        </patternFill>
      </fill>
    </dxf>
    <dxf>
      <fill>
        <patternFill>
          <bgColor indexed="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indexed="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indexed="42"/>
        </patternFill>
      </fill>
    </dxf>
    <dxf>
      <font>
        <condense val="0"/>
        <extend val="0"/>
        <color indexed="10"/>
      </font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rgb="FFCCFFCC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ont>
        <b/>
        <i val="0"/>
        <color rgb="FFFF9900"/>
      </font>
    </dxf>
    <dxf>
      <font>
        <b/>
        <i val="0"/>
        <color rgb="FFFF0000"/>
      </font>
    </dxf>
    <dxf>
      <fill>
        <patternFill>
          <bgColor indexed="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9900"/>
      </font>
    </dxf>
    <dxf>
      <font>
        <b val="0"/>
        <i val="0"/>
        <color rgb="FFFF0000"/>
      </font>
    </dxf>
    <dxf>
      <font>
        <b/>
        <i val="0"/>
        <color rgb="FFFF0000"/>
      </font>
    </dxf>
    <dxf>
      <font>
        <b/>
        <i val="0"/>
        <condense val="0"/>
        <extend val="0"/>
        <color indexed="10"/>
      </font>
    </dxf>
    <dxf>
      <font>
        <strike val="0"/>
      </font>
      <fill>
        <patternFill patternType="solid">
          <fgColor indexed="64"/>
          <bgColor rgb="FFCCFFCC"/>
        </patternFill>
      </fill>
    </dxf>
    <dxf>
      <font>
        <color rgb="FFFF0000"/>
      </font>
    </dxf>
    <dxf>
      <fill>
        <patternFill>
          <bgColor rgb="FFCCFFCC"/>
        </patternFill>
      </fill>
    </dxf>
    <dxf>
      <font>
        <strike val="0"/>
      </font>
      <fill>
        <patternFill>
          <bgColor rgb="FFCCFFCC"/>
        </patternFill>
      </fill>
    </dxf>
    <dxf>
      <font>
        <b/>
        <i val="0"/>
        <color auto="1"/>
      </font>
      <fill>
        <patternFill>
          <fgColor rgb="FFCCFFCC"/>
          <bgColor rgb="FFCCFFCC"/>
        </patternFill>
      </fill>
    </dxf>
    <dxf>
      <font>
        <condense val="0"/>
        <extend val="0"/>
        <color auto="1"/>
      </font>
      <fill>
        <patternFill>
          <bgColor indexed="42"/>
        </patternFill>
      </fill>
    </dxf>
    <dxf>
      <fill>
        <patternFill>
          <bgColor indexed="4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8.png"/><Relationship Id="rId1" Type="http://schemas.openxmlformats.org/officeDocument/2006/relationships/image" Target="../media/image7.jpe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8.png"/><Relationship Id="rId1" Type="http://schemas.openxmlformats.org/officeDocument/2006/relationships/image" Target="../media/image7.jpeg"/><Relationship Id="rId4" Type="http://schemas.openxmlformats.org/officeDocument/2006/relationships/image" Target="../media/image14.emf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2" Type="http://schemas.openxmlformats.org/officeDocument/2006/relationships/image" Target="../media/image11.emf"/><Relationship Id="rId1" Type="http://schemas.openxmlformats.org/officeDocument/2006/relationships/image" Target="../media/image10.emf"/><Relationship Id="rId5" Type="http://schemas.openxmlformats.org/officeDocument/2006/relationships/image" Target="../media/image6.emf"/><Relationship Id="rId4" Type="http://schemas.openxmlformats.org/officeDocument/2006/relationships/image" Target="../media/image1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314325</xdr:colOff>
      <xdr:row>35</xdr:row>
      <xdr:rowOff>133350</xdr:rowOff>
    </xdr:from>
    <xdr:to>
      <xdr:col>15</xdr:col>
      <xdr:colOff>2200275</xdr:colOff>
      <xdr:row>51</xdr:row>
      <xdr:rowOff>123825</xdr:rowOff>
    </xdr:to>
    <xdr:grpSp>
      <xdr:nvGrpSpPr>
        <xdr:cNvPr id="20986" name="Group 703"/>
        <xdr:cNvGrpSpPr>
          <a:grpSpLocks noChangeAspect="1"/>
        </xdr:cNvGrpSpPr>
      </xdr:nvGrpSpPr>
      <xdr:grpSpPr bwMode="auto">
        <a:xfrm>
          <a:off x="9896475" y="5324475"/>
          <a:ext cx="1885950" cy="2638425"/>
          <a:chOff x="2426" y="4997"/>
          <a:chExt cx="2426" cy="3401"/>
        </a:xfrm>
      </xdr:grpSpPr>
      <xdr:sp macro="" textlink="">
        <xdr:nvSpPr>
          <xdr:cNvPr id="20991" name="AutoShape 720"/>
          <xdr:cNvSpPr>
            <a:spLocks noChangeAspect="1" noChangeArrowheads="1"/>
          </xdr:cNvSpPr>
        </xdr:nvSpPr>
        <xdr:spPr bwMode="auto">
          <a:xfrm>
            <a:off x="2426" y="4997"/>
            <a:ext cx="2426" cy="340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5" name="Text Box 719"/>
          <xdr:cNvSpPr txBox="1">
            <a:spLocks noChangeArrowheads="1"/>
          </xdr:cNvSpPr>
        </xdr:nvSpPr>
        <xdr:spPr bwMode="auto">
          <a:xfrm>
            <a:off x="-1469303763997" y="4953000"/>
            <a:ext cx="343" cy="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CA" sz="10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</a:t>
            </a:r>
            <a:endParaRPr lang="en-CA" sz="1200" b="0" i="0" u="none" strike="noStrike" baseline="0">
              <a:solidFill>
                <a:srgbClr val="000000"/>
              </a:solidFill>
              <a:latin typeface="Times New Roman"/>
              <a:cs typeface="Times New Roman"/>
            </a:endParaRPr>
          </a:p>
          <a:p>
            <a:pPr algn="l" rtl="0">
              <a:defRPr sz="1000"/>
            </a:pPr>
            <a:r>
              <a:rPr lang="en-CA" sz="1200" b="0" i="0" u="none" strike="noStrike" baseline="0">
                <a:solidFill>
                  <a:srgbClr val="000000"/>
                </a:solidFill>
                <a:latin typeface="Times New Roman"/>
                <a:cs typeface="Times New Roman"/>
              </a:rPr>
              <a:t> </a:t>
            </a:r>
          </a:p>
        </xdr:txBody>
      </xdr:sp>
      <xdr:grpSp>
        <xdr:nvGrpSpPr>
          <xdr:cNvPr id="20993" name="Group 704"/>
          <xdr:cNvGrpSpPr>
            <a:grpSpLocks/>
          </xdr:cNvGrpSpPr>
        </xdr:nvGrpSpPr>
        <xdr:grpSpPr bwMode="auto">
          <a:xfrm>
            <a:off x="2513" y="5157"/>
            <a:ext cx="2339" cy="3111"/>
            <a:chOff x="2513" y="5157"/>
            <a:chExt cx="2339" cy="3111"/>
          </a:xfrm>
        </xdr:grpSpPr>
        <xdr:sp macro="" textlink="">
          <xdr:nvSpPr>
            <xdr:cNvPr id="29" name="Text Box 718"/>
            <xdr:cNvSpPr txBox="1">
              <a:spLocks noChangeArrowheads="1"/>
            </xdr:cNvSpPr>
          </xdr:nvSpPr>
          <xdr:spPr bwMode="auto">
            <a:xfrm>
              <a:off x="-1574159045465" y="4953000"/>
              <a:ext cx="355" cy="0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CA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</a:t>
              </a:r>
              <a:endParaRPr lang="en-CA" sz="1200" b="0" i="0" u="none" strike="noStrike" baseline="0">
                <a:solidFill>
                  <a:srgbClr val="000000"/>
                </a:solidFill>
                <a:latin typeface="Times New Roman"/>
                <a:cs typeface="Times New Roman"/>
              </a:endParaRPr>
            </a:p>
            <a:p>
              <a:pPr algn="l" rtl="0">
                <a:defRPr sz="1000"/>
              </a:pPr>
              <a:r>
                <a:rPr lang="en-CA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 </a:t>
              </a:r>
            </a:p>
          </xdr:txBody>
        </xdr:sp>
        <xdr:sp macro="" textlink="">
          <xdr:nvSpPr>
            <xdr:cNvPr id="33" name="Rectangle 717"/>
            <xdr:cNvSpPr>
              <a:spLocks noChangeArrowheads="1"/>
            </xdr:cNvSpPr>
          </xdr:nvSpPr>
          <xdr:spPr bwMode="auto">
            <a:xfrm>
              <a:off x="1540018325017" y="4953000"/>
              <a:ext cx="1666" cy="0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CA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 </a:t>
              </a:r>
            </a:p>
          </xdr:txBody>
        </xdr:sp>
        <xdr:sp macro="" textlink="">
          <xdr:nvSpPr>
            <xdr:cNvPr id="20996" name="Rectangle 716"/>
            <xdr:cNvSpPr>
              <a:spLocks noChangeArrowheads="1"/>
            </xdr:cNvSpPr>
          </xdr:nvSpPr>
          <xdr:spPr bwMode="auto">
            <a:xfrm>
              <a:off x="3046" y="5692"/>
              <a:ext cx="1031" cy="1029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997" name="Rectangle 715"/>
            <xdr:cNvSpPr>
              <a:spLocks noChangeArrowheads="1"/>
            </xdr:cNvSpPr>
          </xdr:nvSpPr>
          <xdr:spPr bwMode="auto">
            <a:xfrm>
              <a:off x="2678" y="8178"/>
              <a:ext cx="1826" cy="90"/>
            </a:xfrm>
            <a:prstGeom prst="rect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36" name="Text Box 714"/>
            <xdr:cNvSpPr txBox="1">
              <a:spLocks noChangeArrowheads="1"/>
            </xdr:cNvSpPr>
          </xdr:nvSpPr>
          <xdr:spPr bwMode="auto">
            <a:xfrm>
              <a:off x="-305870310140" y="4953000"/>
              <a:ext cx="355" cy="0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CA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</a:t>
              </a:r>
              <a:endParaRPr lang="en-CA" sz="1200" b="0" i="0" u="none" strike="noStrike" baseline="0">
                <a:solidFill>
                  <a:srgbClr val="000000"/>
                </a:solidFill>
                <a:latin typeface="Times New Roman"/>
                <a:cs typeface="Times New Roman"/>
              </a:endParaRPr>
            </a:p>
            <a:p>
              <a:pPr algn="l" rtl="0">
                <a:defRPr sz="1000"/>
              </a:pPr>
              <a:r>
                <a:rPr lang="en-CA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 </a:t>
              </a:r>
            </a:p>
          </xdr:txBody>
        </xdr:sp>
        <xdr:sp macro="" textlink="">
          <xdr:nvSpPr>
            <xdr:cNvPr id="37" name="Text Box 713"/>
            <xdr:cNvSpPr txBox="1">
              <a:spLocks noChangeArrowheads="1"/>
            </xdr:cNvSpPr>
          </xdr:nvSpPr>
          <xdr:spPr bwMode="auto">
            <a:xfrm>
              <a:off x="286895728735" y="4953000"/>
              <a:ext cx="355" cy="0"/>
            </a:xfrm>
            <a:prstGeom prst="rect">
              <a:avLst/>
            </a:prstGeom>
            <a:solidFill>
              <a:srgbClr val="FFFFFF"/>
            </a:solidFill>
            <a:ln w="9525">
              <a:noFill/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CA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</a:t>
              </a:r>
              <a:endParaRPr lang="en-CA" sz="1200" b="0" i="0" u="none" strike="noStrike" baseline="0">
                <a:solidFill>
                  <a:srgbClr val="000000"/>
                </a:solidFill>
                <a:latin typeface="Times New Roman"/>
                <a:cs typeface="Times New Roman"/>
              </a:endParaRPr>
            </a:p>
            <a:p>
              <a:pPr algn="l" rtl="0">
                <a:defRPr sz="1000"/>
              </a:pPr>
              <a:r>
                <a:rPr lang="en-CA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 </a:t>
              </a:r>
            </a:p>
          </xdr:txBody>
        </xdr:sp>
        <xdr:sp macro="" textlink="">
          <xdr:nvSpPr>
            <xdr:cNvPr id="38" name="Text Box 712"/>
            <xdr:cNvSpPr txBox="1">
              <a:spLocks noChangeArrowheads="1"/>
            </xdr:cNvSpPr>
          </xdr:nvSpPr>
          <xdr:spPr bwMode="auto">
            <a:xfrm>
              <a:off x="-305870310324" y="4953000"/>
              <a:ext cx="723" cy="0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CA" sz="1000" b="0" i="1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Setup</a:t>
              </a:r>
            </a:p>
          </xdr:txBody>
        </xdr:sp>
        <xdr:grpSp>
          <xdr:nvGrpSpPr>
            <xdr:cNvPr id="21001" name="Group 707"/>
            <xdr:cNvGrpSpPr>
              <a:grpSpLocks/>
            </xdr:cNvGrpSpPr>
          </xdr:nvGrpSpPr>
          <xdr:grpSpPr bwMode="auto">
            <a:xfrm>
              <a:off x="2513" y="6135"/>
              <a:ext cx="1157" cy="1011"/>
              <a:chOff x="7301" y="5873"/>
              <a:chExt cx="1157" cy="1011"/>
            </a:xfrm>
          </xdr:grpSpPr>
          <xdr:sp macro="" textlink="">
            <xdr:nvSpPr>
              <xdr:cNvPr id="21004" name="Oval 711"/>
              <xdr:cNvSpPr>
                <a:spLocks noChangeArrowheads="1"/>
              </xdr:cNvSpPr>
            </xdr:nvSpPr>
            <xdr:spPr bwMode="auto">
              <a:xfrm>
                <a:off x="8199" y="5890"/>
                <a:ext cx="259" cy="104"/>
              </a:xfrm>
              <a:prstGeom prst="ellipse">
                <a:avLst/>
              </a:prstGeom>
              <a:solidFill>
                <a:srgbClr val="7F7F7F"/>
              </a:solidFill>
              <a:ln>
                <a:noFill/>
              </a:ln>
              <a:extLst>
                <a:ext uri="{91240B29-F687-4F45-9708-019B960494DF}">
                  <a14:hiddenLine xmlns:a14="http://schemas.microsoft.com/office/drawing/2010/main" w="9525">
                    <a:solidFill>
                      <a:srgbClr val="000000"/>
                    </a:solidFill>
                    <a:round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21005" name="Rectangle 710"/>
              <xdr:cNvSpPr>
                <a:spLocks noChangeArrowheads="1"/>
              </xdr:cNvSpPr>
            </xdr:nvSpPr>
            <xdr:spPr bwMode="auto">
              <a:xfrm>
                <a:off x="7580" y="5910"/>
                <a:ext cx="161" cy="63"/>
              </a:xfrm>
              <a:prstGeom prst="rect">
                <a:avLst/>
              </a:prstGeom>
              <a:solidFill>
                <a:srgbClr val="7F7F7F"/>
              </a:solidFill>
              <a:ln>
                <a:noFill/>
              </a:ln>
              <a:extLst>
                <a:ext uri="{91240B29-F687-4F45-9708-019B960494DF}">
                  <a14:hiddenLine xmlns:a14="http://schemas.microsoft.com/office/drawing/2010/main"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21006" name="Freeform 709"/>
              <xdr:cNvSpPr>
                <a:spLocks/>
              </xdr:cNvSpPr>
            </xdr:nvSpPr>
            <xdr:spPr bwMode="auto">
              <a:xfrm>
                <a:off x="7301" y="5940"/>
                <a:ext cx="438" cy="944"/>
              </a:xfrm>
              <a:custGeom>
                <a:avLst/>
                <a:gdLst>
                  <a:gd name="T0" fmla="*/ 2 w 537"/>
                  <a:gd name="T1" fmla="*/ 0 h 1155"/>
                  <a:gd name="T2" fmla="*/ 2 w 537"/>
                  <a:gd name="T3" fmla="*/ 2 h 1155"/>
                  <a:gd name="T4" fmla="*/ 2 w 537"/>
                  <a:gd name="T5" fmla="*/ 2 h 1155"/>
                  <a:gd name="T6" fmla="*/ 2 w 537"/>
                  <a:gd name="T7" fmla="*/ 2 h 1155"/>
                  <a:gd name="T8" fmla="*/ 2 w 537"/>
                  <a:gd name="T9" fmla="*/ 2 h 1155"/>
                  <a:gd name="T10" fmla="*/ 2 w 537"/>
                  <a:gd name="T11" fmla="*/ 2 h 1155"/>
                  <a:gd name="T12" fmla="*/ 2 w 537"/>
                  <a:gd name="T13" fmla="*/ 2 h 1155"/>
                  <a:gd name="T14" fmla="*/ 2 w 537"/>
                  <a:gd name="T15" fmla="*/ 2 h 1155"/>
                  <a:gd name="T16" fmla="*/ 2 w 537"/>
                  <a:gd name="T17" fmla="*/ 2 h 1155"/>
                  <a:gd name="T18" fmla="*/ 2 w 537"/>
                  <a:gd name="T19" fmla="*/ 2 h 1155"/>
                  <a:gd name="T20" fmla="*/ 2 w 537"/>
                  <a:gd name="T21" fmla="*/ 2 h 1155"/>
                  <a:gd name="T22" fmla="*/ 2 w 537"/>
                  <a:gd name="T23" fmla="*/ 2 h 1155"/>
                  <a:gd name="T24" fmla="*/ 0 60000 65536"/>
                  <a:gd name="T25" fmla="*/ 0 60000 65536"/>
                  <a:gd name="T26" fmla="*/ 0 60000 65536"/>
                  <a:gd name="T27" fmla="*/ 0 60000 65536"/>
                  <a:gd name="T28" fmla="*/ 0 60000 65536"/>
                  <a:gd name="T29" fmla="*/ 0 60000 65536"/>
                  <a:gd name="T30" fmla="*/ 0 60000 65536"/>
                  <a:gd name="T31" fmla="*/ 0 60000 65536"/>
                  <a:gd name="T32" fmla="*/ 0 60000 65536"/>
                  <a:gd name="T33" fmla="*/ 0 60000 65536"/>
                  <a:gd name="T34" fmla="*/ 0 60000 65536"/>
                  <a:gd name="T35" fmla="*/ 0 60000 65536"/>
                  <a:gd name="T36" fmla="*/ 0 w 537"/>
                  <a:gd name="T37" fmla="*/ 0 h 1155"/>
                  <a:gd name="T38" fmla="*/ 537 w 537"/>
                  <a:gd name="T39" fmla="*/ 1155 h 1155"/>
                </a:gdLst>
                <a:ahLst/>
                <a:cxnLst>
                  <a:cxn ang="T24">
                    <a:pos x="T0" y="T1"/>
                  </a:cxn>
                  <a:cxn ang="T25">
                    <a:pos x="T2" y="T3"/>
                  </a:cxn>
                  <a:cxn ang="T26">
                    <a:pos x="T4" y="T5"/>
                  </a:cxn>
                  <a:cxn ang="T27">
                    <a:pos x="T6" y="T7"/>
                  </a:cxn>
                  <a:cxn ang="T28">
                    <a:pos x="T8" y="T9"/>
                  </a:cxn>
                  <a:cxn ang="T29">
                    <a:pos x="T10" y="T11"/>
                  </a:cxn>
                  <a:cxn ang="T30">
                    <a:pos x="T12" y="T13"/>
                  </a:cxn>
                  <a:cxn ang="T31">
                    <a:pos x="T14" y="T15"/>
                  </a:cxn>
                  <a:cxn ang="T32">
                    <a:pos x="T16" y="T17"/>
                  </a:cxn>
                  <a:cxn ang="T33">
                    <a:pos x="T18" y="T19"/>
                  </a:cxn>
                  <a:cxn ang="T34">
                    <a:pos x="T20" y="T21"/>
                  </a:cxn>
                  <a:cxn ang="T35">
                    <a:pos x="T22" y="T23"/>
                  </a:cxn>
                </a:cxnLst>
                <a:rect l="T36" t="T37" r="T38" b="T39"/>
                <a:pathLst>
                  <a:path w="537" h="1155">
                    <a:moveTo>
                      <a:pt x="357" y="0"/>
                    </a:moveTo>
                    <a:cubicBezTo>
                      <a:pt x="301" y="20"/>
                      <a:pt x="242" y="27"/>
                      <a:pt x="185" y="45"/>
                    </a:cubicBezTo>
                    <a:cubicBezTo>
                      <a:pt x="147" y="70"/>
                      <a:pt x="109" y="89"/>
                      <a:pt x="72" y="113"/>
                    </a:cubicBezTo>
                    <a:cubicBezTo>
                      <a:pt x="54" y="139"/>
                      <a:pt x="38" y="139"/>
                      <a:pt x="20" y="165"/>
                    </a:cubicBezTo>
                    <a:cubicBezTo>
                      <a:pt x="7" y="238"/>
                      <a:pt x="0" y="256"/>
                      <a:pt x="20" y="353"/>
                    </a:cubicBezTo>
                    <a:cubicBezTo>
                      <a:pt x="24" y="371"/>
                      <a:pt x="50" y="398"/>
                      <a:pt x="50" y="398"/>
                    </a:cubicBezTo>
                    <a:cubicBezTo>
                      <a:pt x="60" y="428"/>
                      <a:pt x="64" y="441"/>
                      <a:pt x="95" y="450"/>
                    </a:cubicBezTo>
                    <a:cubicBezTo>
                      <a:pt x="104" y="481"/>
                      <a:pt x="121" y="492"/>
                      <a:pt x="147" y="510"/>
                    </a:cubicBezTo>
                    <a:cubicBezTo>
                      <a:pt x="162" y="533"/>
                      <a:pt x="170" y="555"/>
                      <a:pt x="185" y="578"/>
                    </a:cubicBezTo>
                    <a:cubicBezTo>
                      <a:pt x="240" y="749"/>
                      <a:pt x="107" y="853"/>
                      <a:pt x="260" y="953"/>
                    </a:cubicBezTo>
                    <a:cubicBezTo>
                      <a:pt x="295" y="1005"/>
                      <a:pt x="348" y="1061"/>
                      <a:pt x="410" y="1080"/>
                    </a:cubicBezTo>
                    <a:cubicBezTo>
                      <a:pt x="448" y="1118"/>
                      <a:pt x="479" y="1155"/>
                      <a:pt x="537" y="1155"/>
                    </a:cubicBezTo>
                  </a:path>
                </a:pathLst>
              </a:custGeom>
              <a:noFill/>
              <a:ln w="19050">
                <a:solidFill>
                  <a:srgbClr val="7F7F7F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</a:extLst>
            </xdr:spPr>
          </xdr:sp>
          <xdr:sp macro="" textlink="">
            <xdr:nvSpPr>
              <xdr:cNvPr id="21007" name="AutoShape 708"/>
              <xdr:cNvSpPr>
                <a:spLocks noChangeArrowheads="1"/>
              </xdr:cNvSpPr>
            </xdr:nvSpPr>
            <xdr:spPr bwMode="auto">
              <a:xfrm>
                <a:off x="7740" y="5873"/>
                <a:ext cx="594" cy="136"/>
              </a:xfrm>
              <a:prstGeom prst="roundRect">
                <a:avLst>
                  <a:gd name="adj" fmla="val 16667"/>
                </a:avLst>
              </a:prstGeom>
              <a:solidFill>
                <a:srgbClr val="7F7F7F"/>
              </a:solidFill>
              <a:ln>
                <a:noFill/>
              </a:ln>
              <a:extLst>
                <a:ext uri="{91240B29-F687-4F45-9708-019B960494DF}">
                  <a14:hiddenLine xmlns:a14="http://schemas.microsoft.com/office/drawing/2010/main" w="9525">
                    <a:solidFill>
                      <a:srgbClr val="000000"/>
                    </a:solidFill>
                    <a:round/>
                    <a:headEnd/>
                    <a:tailEnd/>
                  </a14:hiddenLine>
                </a:ext>
              </a:extLst>
            </xdr:spPr>
          </xdr:sp>
        </xdr:grpSp>
        <xdr:cxnSp macro="">
          <xdr:nvCxnSpPr>
            <xdr:cNvPr id="21002" name="AutoShape 706"/>
            <xdr:cNvCxnSpPr>
              <a:cxnSpLocks noChangeShapeType="1"/>
            </xdr:cNvCxnSpPr>
          </xdr:nvCxnSpPr>
          <xdr:spPr bwMode="auto">
            <a:xfrm flipH="1">
              <a:off x="2665" y="6195"/>
              <a:ext cx="1802" cy="6"/>
            </a:xfrm>
            <a:prstGeom prst="straightConnector1">
              <a:avLst/>
            </a:prstGeom>
            <a:noFill/>
            <a:ln w="6350">
              <a:solidFill>
                <a:srgbClr val="FF0000"/>
              </a:solidFill>
              <a:prstDash val="dash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cxnSp>
        <xdr:cxnSp macro="">
          <xdr:nvCxnSpPr>
            <xdr:cNvPr id="21003" name="AutoShape 705"/>
            <xdr:cNvCxnSpPr>
              <a:cxnSpLocks noChangeShapeType="1"/>
            </xdr:cNvCxnSpPr>
          </xdr:nvCxnSpPr>
          <xdr:spPr bwMode="auto">
            <a:xfrm flipH="1">
              <a:off x="3558" y="5443"/>
              <a:ext cx="1" cy="1666"/>
            </a:xfrm>
            <a:prstGeom prst="straightConnector1">
              <a:avLst/>
            </a:prstGeom>
            <a:noFill/>
            <a:ln w="6350">
              <a:solidFill>
                <a:srgbClr val="FF0000"/>
              </a:solidFill>
              <a:prstDash val="dash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cxnSp>
      </xdr:grpSp>
    </xdr:grpSp>
    <xdr:clientData/>
  </xdr:twoCellAnchor>
  <xdr:twoCellAnchor>
    <xdr:from>
      <xdr:col>15</xdr:col>
      <xdr:colOff>314325</xdr:colOff>
      <xdr:row>35</xdr:row>
      <xdr:rowOff>76200</xdr:rowOff>
    </xdr:from>
    <xdr:to>
      <xdr:col>15</xdr:col>
      <xdr:colOff>2209800</xdr:colOff>
      <xdr:row>51</xdr:row>
      <xdr:rowOff>76200</xdr:rowOff>
    </xdr:to>
    <xdr:pic>
      <xdr:nvPicPr>
        <xdr:cNvPr id="20987" name="Picture 45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96475" y="4953000"/>
          <a:ext cx="18954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5</xdr:row>
          <xdr:rowOff>47625</xdr:rowOff>
        </xdr:from>
        <xdr:to>
          <xdr:col>5</xdr:col>
          <xdr:colOff>295275</xdr:colOff>
          <xdr:row>7</xdr:row>
          <xdr:rowOff>57150</xdr:rowOff>
        </xdr:to>
        <xdr:sp macro="" textlink="">
          <xdr:nvSpPr>
            <xdr:cNvPr id="1136" name="cmdClear" hidden="1">
              <a:extLst>
                <a:ext uri="{63B3BB69-23CF-44E3-9099-C40C66FF867C}">
                  <a14:compatExt spid="_x0000_s11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304800</xdr:colOff>
          <xdr:row>5</xdr:row>
          <xdr:rowOff>38100</xdr:rowOff>
        </xdr:from>
        <xdr:to>
          <xdr:col>12</xdr:col>
          <xdr:colOff>542925</xdr:colOff>
          <xdr:row>7</xdr:row>
          <xdr:rowOff>38100</xdr:rowOff>
        </xdr:to>
        <xdr:sp macro="" textlink="">
          <xdr:nvSpPr>
            <xdr:cNvPr id="1144" name="cmdPrint" hidden="1">
              <a:extLst>
                <a:ext uri="{63B3BB69-23CF-44E3-9099-C40C66FF867C}">
                  <a14:compatExt spid="_x0000_s11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133350</xdr:colOff>
          <xdr:row>5</xdr:row>
          <xdr:rowOff>28575</xdr:rowOff>
        </xdr:from>
        <xdr:to>
          <xdr:col>9</xdr:col>
          <xdr:colOff>323850</xdr:colOff>
          <xdr:row>7</xdr:row>
          <xdr:rowOff>57150</xdr:rowOff>
        </xdr:to>
        <xdr:sp macro="" textlink="">
          <xdr:nvSpPr>
            <xdr:cNvPr id="1148" name="cmdOPTrend" hidden="1">
              <a:extLst>
                <a:ext uri="{63B3BB69-23CF-44E3-9099-C40C66FF867C}">
                  <a14:compatExt spid="_x0000_s1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600075</xdr:colOff>
          <xdr:row>5</xdr:row>
          <xdr:rowOff>38100</xdr:rowOff>
        </xdr:from>
        <xdr:to>
          <xdr:col>11</xdr:col>
          <xdr:colOff>57150</xdr:colOff>
          <xdr:row>7</xdr:row>
          <xdr:rowOff>57150</xdr:rowOff>
        </xdr:to>
        <xdr:sp macro="" textlink="">
          <xdr:nvSpPr>
            <xdr:cNvPr id="1187" name="cmdSave" hidden="1">
              <a:extLst>
                <a:ext uri="{63B3BB69-23CF-44E3-9099-C40C66FF867C}">
                  <a14:compatExt spid="_x0000_s11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581025</xdr:colOff>
          <xdr:row>23</xdr:row>
          <xdr:rowOff>28575</xdr:rowOff>
        </xdr:from>
        <xdr:to>
          <xdr:col>12</xdr:col>
          <xdr:colOff>733425</xdr:colOff>
          <xdr:row>24</xdr:row>
          <xdr:rowOff>0</xdr:rowOff>
        </xdr:to>
        <xdr:sp macro="" textlink="">
          <xdr:nvSpPr>
            <xdr:cNvPr id="14602" name="lbl_Audit" hidden="1">
              <a:extLst>
                <a:ext uri="{63B3BB69-23CF-44E3-9099-C40C66FF867C}">
                  <a14:compatExt spid="_x0000_s14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571500</xdr:colOff>
          <xdr:row>32</xdr:row>
          <xdr:rowOff>19050</xdr:rowOff>
        </xdr:from>
        <xdr:to>
          <xdr:col>12</xdr:col>
          <xdr:colOff>723900</xdr:colOff>
          <xdr:row>32</xdr:row>
          <xdr:rowOff>190500</xdr:rowOff>
        </xdr:to>
        <xdr:sp macro="" textlink="">
          <xdr:nvSpPr>
            <xdr:cNvPr id="14709" name="lbl_Xray_Outputs" hidden="1">
              <a:extLst>
                <a:ext uri="{63B3BB69-23CF-44E3-9099-C40C66FF867C}">
                  <a14:compatExt spid="_x0000_s14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581025</xdr:colOff>
          <xdr:row>102</xdr:row>
          <xdr:rowOff>28575</xdr:rowOff>
        </xdr:from>
        <xdr:to>
          <xdr:col>12</xdr:col>
          <xdr:colOff>733425</xdr:colOff>
          <xdr:row>103</xdr:row>
          <xdr:rowOff>0</xdr:rowOff>
        </xdr:to>
        <xdr:sp macro="" textlink="">
          <xdr:nvSpPr>
            <xdr:cNvPr id="14736" name="lbl_Electron_Outputs" hidden="1">
              <a:extLst>
                <a:ext uri="{63B3BB69-23CF-44E3-9099-C40C66FF867C}">
                  <a14:compatExt spid="_x0000_s147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581025</xdr:colOff>
          <xdr:row>121</xdr:row>
          <xdr:rowOff>28575</xdr:rowOff>
        </xdr:from>
        <xdr:to>
          <xdr:col>12</xdr:col>
          <xdr:colOff>733425</xdr:colOff>
          <xdr:row>122</xdr:row>
          <xdr:rowOff>0</xdr:rowOff>
        </xdr:to>
        <xdr:sp macro="" textlink="">
          <xdr:nvSpPr>
            <xdr:cNvPr id="14738" name="lbl_MVD_Measurements" hidden="1">
              <a:extLst>
                <a:ext uri="{63B3BB69-23CF-44E3-9099-C40C66FF867C}">
                  <a14:compatExt spid="_x0000_s147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581025</xdr:colOff>
          <xdr:row>239</xdr:row>
          <xdr:rowOff>28575</xdr:rowOff>
        </xdr:from>
        <xdr:to>
          <xdr:col>12</xdr:col>
          <xdr:colOff>733425</xdr:colOff>
          <xdr:row>240</xdr:row>
          <xdr:rowOff>0</xdr:rowOff>
        </xdr:to>
        <xdr:sp macro="" textlink="">
          <xdr:nvSpPr>
            <xdr:cNvPr id="14811" name="lbl_Registration" hidden="1">
              <a:extLst>
                <a:ext uri="{63B3BB69-23CF-44E3-9099-C40C66FF867C}">
                  <a14:compatExt spid="_x0000_s148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581025</xdr:colOff>
          <xdr:row>272</xdr:row>
          <xdr:rowOff>28575</xdr:rowOff>
        </xdr:from>
        <xdr:to>
          <xdr:col>12</xdr:col>
          <xdr:colOff>733425</xdr:colOff>
          <xdr:row>273</xdr:row>
          <xdr:rowOff>0</xdr:rowOff>
        </xdr:to>
        <xdr:sp macro="" textlink="">
          <xdr:nvSpPr>
            <xdr:cNvPr id="14832" name="lbl_Motion_Management" hidden="1">
              <a:extLst>
                <a:ext uri="{63B3BB69-23CF-44E3-9099-C40C66FF867C}">
                  <a14:compatExt spid="_x0000_s148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581025</xdr:colOff>
          <xdr:row>292</xdr:row>
          <xdr:rowOff>28575</xdr:rowOff>
        </xdr:from>
        <xdr:to>
          <xdr:col>12</xdr:col>
          <xdr:colOff>733425</xdr:colOff>
          <xdr:row>293</xdr:row>
          <xdr:rowOff>0</xdr:rowOff>
        </xdr:to>
        <xdr:sp macro="" textlink="">
          <xdr:nvSpPr>
            <xdr:cNvPr id="14893" name="lbl_KV_Planar" hidden="1">
              <a:extLst>
                <a:ext uri="{63B3BB69-23CF-44E3-9099-C40C66FF867C}">
                  <a14:compatExt spid="_x0000_s148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581025</xdr:colOff>
          <xdr:row>339</xdr:row>
          <xdr:rowOff>28575</xdr:rowOff>
        </xdr:from>
        <xdr:to>
          <xdr:col>12</xdr:col>
          <xdr:colOff>733425</xdr:colOff>
          <xdr:row>340</xdr:row>
          <xdr:rowOff>0</xdr:rowOff>
        </xdr:to>
        <xdr:sp macro="" textlink="">
          <xdr:nvSpPr>
            <xdr:cNvPr id="14894" name="lbl_CBCT" hidden="1">
              <a:extLst>
                <a:ext uri="{63B3BB69-23CF-44E3-9099-C40C66FF867C}">
                  <a14:compatExt spid="_x0000_s148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19050</xdr:colOff>
      <xdr:row>8</xdr:row>
      <xdr:rowOff>66675</xdr:rowOff>
    </xdr:from>
    <xdr:to>
      <xdr:col>3</xdr:col>
      <xdr:colOff>495300</xdr:colOff>
      <xdr:row>12</xdr:row>
      <xdr:rowOff>190500</xdr:rowOff>
    </xdr:to>
    <xdr:grpSp>
      <xdr:nvGrpSpPr>
        <xdr:cNvPr id="20988" name="Group 38"/>
        <xdr:cNvGrpSpPr>
          <a:grpSpLocks/>
        </xdr:cNvGrpSpPr>
      </xdr:nvGrpSpPr>
      <xdr:grpSpPr bwMode="auto">
        <a:xfrm>
          <a:off x="514350" y="1457325"/>
          <a:ext cx="1257300" cy="866775"/>
          <a:chOff x="0" y="0"/>
          <a:chExt cx="3286125" cy="2105025"/>
        </a:xfrm>
      </xdr:grpSpPr>
      <xdr:pic>
        <xdr:nvPicPr>
          <xdr:cNvPr id="20989" name="Picture 40"/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0" y="0"/>
            <a:ext cx="3200400" cy="210502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20990" name="Picture 41"/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771650" y="1238250"/>
            <a:ext cx="1514475" cy="6000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314325</xdr:colOff>
      <xdr:row>35</xdr:row>
      <xdr:rowOff>133350</xdr:rowOff>
    </xdr:from>
    <xdr:to>
      <xdr:col>15</xdr:col>
      <xdr:colOff>2200275</xdr:colOff>
      <xdr:row>51</xdr:row>
      <xdr:rowOff>123825</xdr:rowOff>
    </xdr:to>
    <xdr:grpSp>
      <xdr:nvGrpSpPr>
        <xdr:cNvPr id="2" name="Group 703"/>
        <xdr:cNvGrpSpPr>
          <a:grpSpLocks noChangeAspect="1"/>
        </xdr:cNvGrpSpPr>
      </xdr:nvGrpSpPr>
      <xdr:grpSpPr bwMode="auto">
        <a:xfrm>
          <a:off x="9896475" y="6457950"/>
          <a:ext cx="1885950" cy="2638425"/>
          <a:chOff x="2426" y="4997"/>
          <a:chExt cx="2426" cy="3401"/>
        </a:xfrm>
      </xdr:grpSpPr>
      <xdr:sp macro="" textlink="">
        <xdr:nvSpPr>
          <xdr:cNvPr id="3" name="AutoShape 720"/>
          <xdr:cNvSpPr>
            <a:spLocks noChangeAspect="1" noChangeArrowheads="1"/>
          </xdr:cNvSpPr>
        </xdr:nvSpPr>
        <xdr:spPr bwMode="auto">
          <a:xfrm>
            <a:off x="2426" y="4997"/>
            <a:ext cx="2426" cy="340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4" name="Text Box 719"/>
          <xdr:cNvSpPr txBox="1">
            <a:spLocks noChangeArrowheads="1"/>
          </xdr:cNvSpPr>
        </xdr:nvSpPr>
        <xdr:spPr bwMode="auto">
          <a:xfrm>
            <a:off x="-1469303763997" y="4953000"/>
            <a:ext cx="343" cy="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CA" sz="10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</a:t>
            </a:r>
            <a:endParaRPr lang="en-CA" sz="1200" b="0" i="0" u="none" strike="noStrike" baseline="0">
              <a:solidFill>
                <a:srgbClr val="000000"/>
              </a:solidFill>
              <a:latin typeface="Times New Roman"/>
              <a:cs typeface="Times New Roman"/>
            </a:endParaRPr>
          </a:p>
          <a:p>
            <a:pPr algn="l" rtl="0">
              <a:defRPr sz="1000"/>
            </a:pPr>
            <a:r>
              <a:rPr lang="en-CA" sz="1200" b="0" i="0" u="none" strike="noStrike" baseline="0">
                <a:solidFill>
                  <a:srgbClr val="000000"/>
                </a:solidFill>
                <a:latin typeface="Times New Roman"/>
                <a:cs typeface="Times New Roman"/>
              </a:rPr>
              <a:t> </a:t>
            </a:r>
          </a:p>
        </xdr:txBody>
      </xdr:sp>
      <xdr:grpSp>
        <xdr:nvGrpSpPr>
          <xdr:cNvPr id="5" name="Group 704"/>
          <xdr:cNvGrpSpPr>
            <a:grpSpLocks/>
          </xdr:cNvGrpSpPr>
        </xdr:nvGrpSpPr>
        <xdr:grpSpPr bwMode="auto">
          <a:xfrm>
            <a:off x="2513" y="5157"/>
            <a:ext cx="2339" cy="3111"/>
            <a:chOff x="2513" y="5157"/>
            <a:chExt cx="2339" cy="3111"/>
          </a:xfrm>
        </xdr:grpSpPr>
        <xdr:sp macro="" textlink="">
          <xdr:nvSpPr>
            <xdr:cNvPr id="6" name="Text Box 718"/>
            <xdr:cNvSpPr txBox="1">
              <a:spLocks noChangeArrowheads="1"/>
            </xdr:cNvSpPr>
          </xdr:nvSpPr>
          <xdr:spPr bwMode="auto">
            <a:xfrm>
              <a:off x="-1574159045465" y="4953000"/>
              <a:ext cx="355" cy="0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CA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</a:t>
              </a:r>
              <a:endParaRPr lang="en-CA" sz="1200" b="0" i="0" u="none" strike="noStrike" baseline="0">
                <a:solidFill>
                  <a:srgbClr val="000000"/>
                </a:solidFill>
                <a:latin typeface="Times New Roman"/>
                <a:cs typeface="Times New Roman"/>
              </a:endParaRPr>
            </a:p>
            <a:p>
              <a:pPr algn="l" rtl="0">
                <a:defRPr sz="1000"/>
              </a:pPr>
              <a:r>
                <a:rPr lang="en-CA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 </a:t>
              </a:r>
            </a:p>
          </xdr:txBody>
        </xdr:sp>
        <xdr:sp macro="" textlink="">
          <xdr:nvSpPr>
            <xdr:cNvPr id="7" name="Rectangle 717"/>
            <xdr:cNvSpPr>
              <a:spLocks noChangeArrowheads="1"/>
            </xdr:cNvSpPr>
          </xdr:nvSpPr>
          <xdr:spPr bwMode="auto">
            <a:xfrm>
              <a:off x="1540018325017" y="4953000"/>
              <a:ext cx="1666" cy="0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CA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 </a:t>
              </a:r>
            </a:p>
          </xdr:txBody>
        </xdr:sp>
        <xdr:sp macro="" textlink="">
          <xdr:nvSpPr>
            <xdr:cNvPr id="8" name="Rectangle 716"/>
            <xdr:cNvSpPr>
              <a:spLocks noChangeArrowheads="1"/>
            </xdr:cNvSpPr>
          </xdr:nvSpPr>
          <xdr:spPr bwMode="auto">
            <a:xfrm>
              <a:off x="3046" y="5692"/>
              <a:ext cx="1031" cy="1029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" name="Rectangle 715"/>
            <xdr:cNvSpPr>
              <a:spLocks noChangeArrowheads="1"/>
            </xdr:cNvSpPr>
          </xdr:nvSpPr>
          <xdr:spPr bwMode="auto">
            <a:xfrm>
              <a:off x="2678" y="8178"/>
              <a:ext cx="1826" cy="90"/>
            </a:xfrm>
            <a:prstGeom prst="rect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10" name="Text Box 714"/>
            <xdr:cNvSpPr txBox="1">
              <a:spLocks noChangeArrowheads="1"/>
            </xdr:cNvSpPr>
          </xdr:nvSpPr>
          <xdr:spPr bwMode="auto">
            <a:xfrm>
              <a:off x="-305870310140" y="4953000"/>
              <a:ext cx="355" cy="0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CA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</a:t>
              </a:r>
              <a:endParaRPr lang="en-CA" sz="1200" b="0" i="0" u="none" strike="noStrike" baseline="0">
                <a:solidFill>
                  <a:srgbClr val="000000"/>
                </a:solidFill>
                <a:latin typeface="Times New Roman"/>
                <a:cs typeface="Times New Roman"/>
              </a:endParaRPr>
            </a:p>
            <a:p>
              <a:pPr algn="l" rtl="0">
                <a:defRPr sz="1000"/>
              </a:pPr>
              <a:r>
                <a:rPr lang="en-CA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 </a:t>
              </a:r>
            </a:p>
          </xdr:txBody>
        </xdr:sp>
        <xdr:sp macro="" textlink="">
          <xdr:nvSpPr>
            <xdr:cNvPr id="11" name="Text Box 713"/>
            <xdr:cNvSpPr txBox="1">
              <a:spLocks noChangeArrowheads="1"/>
            </xdr:cNvSpPr>
          </xdr:nvSpPr>
          <xdr:spPr bwMode="auto">
            <a:xfrm>
              <a:off x="286895728735" y="4953000"/>
              <a:ext cx="355" cy="0"/>
            </a:xfrm>
            <a:prstGeom prst="rect">
              <a:avLst/>
            </a:prstGeom>
            <a:solidFill>
              <a:srgbClr val="FFFFFF"/>
            </a:solidFill>
            <a:ln w="9525">
              <a:noFill/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CA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</a:t>
              </a:r>
              <a:endParaRPr lang="en-CA" sz="1200" b="0" i="0" u="none" strike="noStrike" baseline="0">
                <a:solidFill>
                  <a:srgbClr val="000000"/>
                </a:solidFill>
                <a:latin typeface="Times New Roman"/>
                <a:cs typeface="Times New Roman"/>
              </a:endParaRPr>
            </a:p>
            <a:p>
              <a:pPr algn="l" rtl="0">
                <a:defRPr sz="1000"/>
              </a:pPr>
              <a:r>
                <a:rPr lang="en-CA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 </a:t>
              </a:r>
            </a:p>
          </xdr:txBody>
        </xdr:sp>
        <xdr:sp macro="" textlink="">
          <xdr:nvSpPr>
            <xdr:cNvPr id="12" name="Text Box 712"/>
            <xdr:cNvSpPr txBox="1">
              <a:spLocks noChangeArrowheads="1"/>
            </xdr:cNvSpPr>
          </xdr:nvSpPr>
          <xdr:spPr bwMode="auto">
            <a:xfrm>
              <a:off x="-305870310324" y="4953000"/>
              <a:ext cx="723" cy="0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CA" sz="1000" b="0" i="1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Setup</a:t>
              </a:r>
            </a:p>
          </xdr:txBody>
        </xdr:sp>
        <xdr:grpSp>
          <xdr:nvGrpSpPr>
            <xdr:cNvPr id="13" name="Group 707"/>
            <xdr:cNvGrpSpPr>
              <a:grpSpLocks/>
            </xdr:cNvGrpSpPr>
          </xdr:nvGrpSpPr>
          <xdr:grpSpPr bwMode="auto">
            <a:xfrm>
              <a:off x="2513" y="6135"/>
              <a:ext cx="1157" cy="1011"/>
              <a:chOff x="7301" y="5873"/>
              <a:chExt cx="1157" cy="1011"/>
            </a:xfrm>
          </xdr:grpSpPr>
          <xdr:sp macro="" textlink="">
            <xdr:nvSpPr>
              <xdr:cNvPr id="16" name="Oval 711"/>
              <xdr:cNvSpPr>
                <a:spLocks noChangeArrowheads="1"/>
              </xdr:cNvSpPr>
            </xdr:nvSpPr>
            <xdr:spPr bwMode="auto">
              <a:xfrm>
                <a:off x="8199" y="5890"/>
                <a:ext cx="259" cy="104"/>
              </a:xfrm>
              <a:prstGeom prst="ellipse">
                <a:avLst/>
              </a:prstGeom>
              <a:solidFill>
                <a:srgbClr val="7F7F7F"/>
              </a:solidFill>
              <a:ln>
                <a:noFill/>
              </a:ln>
              <a:extLst>
                <a:ext uri="{91240B29-F687-4F45-9708-019B960494DF}">
                  <a14:hiddenLine xmlns:a14="http://schemas.microsoft.com/office/drawing/2010/main" w="9525">
                    <a:solidFill>
                      <a:srgbClr val="000000"/>
                    </a:solidFill>
                    <a:round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7" name="Rectangle 710"/>
              <xdr:cNvSpPr>
                <a:spLocks noChangeArrowheads="1"/>
              </xdr:cNvSpPr>
            </xdr:nvSpPr>
            <xdr:spPr bwMode="auto">
              <a:xfrm>
                <a:off x="7580" y="5910"/>
                <a:ext cx="161" cy="63"/>
              </a:xfrm>
              <a:prstGeom prst="rect">
                <a:avLst/>
              </a:prstGeom>
              <a:solidFill>
                <a:srgbClr val="7F7F7F"/>
              </a:solidFill>
              <a:ln>
                <a:noFill/>
              </a:ln>
              <a:extLst>
                <a:ext uri="{91240B29-F687-4F45-9708-019B960494DF}">
                  <a14:hiddenLine xmlns:a14="http://schemas.microsoft.com/office/drawing/2010/main"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" name="Freeform 709"/>
              <xdr:cNvSpPr>
                <a:spLocks/>
              </xdr:cNvSpPr>
            </xdr:nvSpPr>
            <xdr:spPr bwMode="auto">
              <a:xfrm>
                <a:off x="7301" y="5940"/>
                <a:ext cx="438" cy="944"/>
              </a:xfrm>
              <a:custGeom>
                <a:avLst/>
                <a:gdLst>
                  <a:gd name="T0" fmla="*/ 2 w 537"/>
                  <a:gd name="T1" fmla="*/ 0 h 1155"/>
                  <a:gd name="T2" fmla="*/ 2 w 537"/>
                  <a:gd name="T3" fmla="*/ 2 h 1155"/>
                  <a:gd name="T4" fmla="*/ 2 w 537"/>
                  <a:gd name="T5" fmla="*/ 2 h 1155"/>
                  <a:gd name="T6" fmla="*/ 2 w 537"/>
                  <a:gd name="T7" fmla="*/ 2 h 1155"/>
                  <a:gd name="T8" fmla="*/ 2 w 537"/>
                  <a:gd name="T9" fmla="*/ 2 h 1155"/>
                  <a:gd name="T10" fmla="*/ 2 w 537"/>
                  <a:gd name="T11" fmla="*/ 2 h 1155"/>
                  <a:gd name="T12" fmla="*/ 2 w 537"/>
                  <a:gd name="T13" fmla="*/ 2 h 1155"/>
                  <a:gd name="T14" fmla="*/ 2 w 537"/>
                  <a:gd name="T15" fmla="*/ 2 h 1155"/>
                  <a:gd name="T16" fmla="*/ 2 w 537"/>
                  <a:gd name="T17" fmla="*/ 2 h 1155"/>
                  <a:gd name="T18" fmla="*/ 2 w 537"/>
                  <a:gd name="T19" fmla="*/ 2 h 1155"/>
                  <a:gd name="T20" fmla="*/ 2 w 537"/>
                  <a:gd name="T21" fmla="*/ 2 h 1155"/>
                  <a:gd name="T22" fmla="*/ 2 w 537"/>
                  <a:gd name="T23" fmla="*/ 2 h 1155"/>
                  <a:gd name="T24" fmla="*/ 0 60000 65536"/>
                  <a:gd name="T25" fmla="*/ 0 60000 65536"/>
                  <a:gd name="T26" fmla="*/ 0 60000 65536"/>
                  <a:gd name="T27" fmla="*/ 0 60000 65536"/>
                  <a:gd name="T28" fmla="*/ 0 60000 65536"/>
                  <a:gd name="T29" fmla="*/ 0 60000 65536"/>
                  <a:gd name="T30" fmla="*/ 0 60000 65536"/>
                  <a:gd name="T31" fmla="*/ 0 60000 65536"/>
                  <a:gd name="T32" fmla="*/ 0 60000 65536"/>
                  <a:gd name="T33" fmla="*/ 0 60000 65536"/>
                  <a:gd name="T34" fmla="*/ 0 60000 65536"/>
                  <a:gd name="T35" fmla="*/ 0 60000 65536"/>
                  <a:gd name="T36" fmla="*/ 0 w 537"/>
                  <a:gd name="T37" fmla="*/ 0 h 1155"/>
                  <a:gd name="T38" fmla="*/ 537 w 537"/>
                  <a:gd name="T39" fmla="*/ 1155 h 1155"/>
                </a:gdLst>
                <a:ahLst/>
                <a:cxnLst>
                  <a:cxn ang="T24">
                    <a:pos x="T0" y="T1"/>
                  </a:cxn>
                  <a:cxn ang="T25">
                    <a:pos x="T2" y="T3"/>
                  </a:cxn>
                  <a:cxn ang="T26">
                    <a:pos x="T4" y="T5"/>
                  </a:cxn>
                  <a:cxn ang="T27">
                    <a:pos x="T6" y="T7"/>
                  </a:cxn>
                  <a:cxn ang="T28">
                    <a:pos x="T8" y="T9"/>
                  </a:cxn>
                  <a:cxn ang="T29">
                    <a:pos x="T10" y="T11"/>
                  </a:cxn>
                  <a:cxn ang="T30">
                    <a:pos x="T12" y="T13"/>
                  </a:cxn>
                  <a:cxn ang="T31">
                    <a:pos x="T14" y="T15"/>
                  </a:cxn>
                  <a:cxn ang="T32">
                    <a:pos x="T16" y="T17"/>
                  </a:cxn>
                  <a:cxn ang="T33">
                    <a:pos x="T18" y="T19"/>
                  </a:cxn>
                  <a:cxn ang="T34">
                    <a:pos x="T20" y="T21"/>
                  </a:cxn>
                  <a:cxn ang="T35">
                    <a:pos x="T22" y="T23"/>
                  </a:cxn>
                </a:cxnLst>
                <a:rect l="T36" t="T37" r="T38" b="T39"/>
                <a:pathLst>
                  <a:path w="537" h="1155">
                    <a:moveTo>
                      <a:pt x="357" y="0"/>
                    </a:moveTo>
                    <a:cubicBezTo>
                      <a:pt x="301" y="20"/>
                      <a:pt x="242" y="27"/>
                      <a:pt x="185" y="45"/>
                    </a:cubicBezTo>
                    <a:cubicBezTo>
                      <a:pt x="147" y="70"/>
                      <a:pt x="109" y="89"/>
                      <a:pt x="72" y="113"/>
                    </a:cubicBezTo>
                    <a:cubicBezTo>
                      <a:pt x="54" y="139"/>
                      <a:pt x="38" y="139"/>
                      <a:pt x="20" y="165"/>
                    </a:cubicBezTo>
                    <a:cubicBezTo>
                      <a:pt x="7" y="238"/>
                      <a:pt x="0" y="256"/>
                      <a:pt x="20" y="353"/>
                    </a:cubicBezTo>
                    <a:cubicBezTo>
                      <a:pt x="24" y="371"/>
                      <a:pt x="50" y="398"/>
                      <a:pt x="50" y="398"/>
                    </a:cubicBezTo>
                    <a:cubicBezTo>
                      <a:pt x="60" y="428"/>
                      <a:pt x="64" y="441"/>
                      <a:pt x="95" y="450"/>
                    </a:cubicBezTo>
                    <a:cubicBezTo>
                      <a:pt x="104" y="481"/>
                      <a:pt x="121" y="492"/>
                      <a:pt x="147" y="510"/>
                    </a:cubicBezTo>
                    <a:cubicBezTo>
                      <a:pt x="162" y="533"/>
                      <a:pt x="170" y="555"/>
                      <a:pt x="185" y="578"/>
                    </a:cubicBezTo>
                    <a:cubicBezTo>
                      <a:pt x="240" y="749"/>
                      <a:pt x="107" y="853"/>
                      <a:pt x="260" y="953"/>
                    </a:cubicBezTo>
                    <a:cubicBezTo>
                      <a:pt x="295" y="1005"/>
                      <a:pt x="348" y="1061"/>
                      <a:pt x="410" y="1080"/>
                    </a:cubicBezTo>
                    <a:cubicBezTo>
                      <a:pt x="448" y="1118"/>
                      <a:pt x="479" y="1155"/>
                      <a:pt x="537" y="1155"/>
                    </a:cubicBezTo>
                  </a:path>
                </a:pathLst>
              </a:custGeom>
              <a:noFill/>
              <a:ln w="19050">
                <a:solidFill>
                  <a:srgbClr val="7F7F7F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</a:extLst>
            </xdr:spPr>
          </xdr:sp>
          <xdr:sp macro="" textlink="">
            <xdr:nvSpPr>
              <xdr:cNvPr id="19" name="AutoShape 708"/>
              <xdr:cNvSpPr>
                <a:spLocks noChangeArrowheads="1"/>
              </xdr:cNvSpPr>
            </xdr:nvSpPr>
            <xdr:spPr bwMode="auto">
              <a:xfrm>
                <a:off x="7740" y="5873"/>
                <a:ext cx="594" cy="136"/>
              </a:xfrm>
              <a:prstGeom prst="roundRect">
                <a:avLst>
                  <a:gd name="adj" fmla="val 16667"/>
                </a:avLst>
              </a:prstGeom>
              <a:solidFill>
                <a:srgbClr val="7F7F7F"/>
              </a:solidFill>
              <a:ln>
                <a:noFill/>
              </a:ln>
              <a:extLst>
                <a:ext uri="{91240B29-F687-4F45-9708-019B960494DF}">
                  <a14:hiddenLine xmlns:a14="http://schemas.microsoft.com/office/drawing/2010/main" w="9525">
                    <a:solidFill>
                      <a:srgbClr val="000000"/>
                    </a:solidFill>
                    <a:round/>
                    <a:headEnd/>
                    <a:tailEnd/>
                  </a14:hiddenLine>
                </a:ext>
              </a:extLst>
            </xdr:spPr>
          </xdr:sp>
        </xdr:grpSp>
        <xdr:cxnSp macro="">
          <xdr:nvCxnSpPr>
            <xdr:cNvPr id="14" name="AutoShape 706"/>
            <xdr:cNvCxnSpPr>
              <a:cxnSpLocks noChangeShapeType="1"/>
            </xdr:cNvCxnSpPr>
          </xdr:nvCxnSpPr>
          <xdr:spPr bwMode="auto">
            <a:xfrm flipH="1">
              <a:off x="2665" y="6195"/>
              <a:ext cx="1802" cy="6"/>
            </a:xfrm>
            <a:prstGeom prst="straightConnector1">
              <a:avLst/>
            </a:prstGeom>
            <a:noFill/>
            <a:ln w="6350">
              <a:solidFill>
                <a:srgbClr val="FF0000"/>
              </a:solidFill>
              <a:prstDash val="dash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cxnSp>
        <xdr:cxnSp macro="">
          <xdr:nvCxnSpPr>
            <xdr:cNvPr id="15" name="AutoShape 705"/>
            <xdr:cNvCxnSpPr>
              <a:cxnSpLocks noChangeShapeType="1"/>
            </xdr:cNvCxnSpPr>
          </xdr:nvCxnSpPr>
          <xdr:spPr bwMode="auto">
            <a:xfrm flipH="1">
              <a:off x="3558" y="5443"/>
              <a:ext cx="1" cy="1666"/>
            </a:xfrm>
            <a:prstGeom prst="straightConnector1">
              <a:avLst/>
            </a:prstGeom>
            <a:noFill/>
            <a:ln w="6350">
              <a:solidFill>
                <a:srgbClr val="FF0000"/>
              </a:solidFill>
              <a:prstDash val="dash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cxnSp>
      </xdr:grpSp>
    </xdr:grpSp>
    <xdr:clientData/>
  </xdr:twoCellAnchor>
  <xdr:twoCellAnchor>
    <xdr:from>
      <xdr:col>15</xdr:col>
      <xdr:colOff>314325</xdr:colOff>
      <xdr:row>35</xdr:row>
      <xdr:rowOff>76200</xdr:rowOff>
    </xdr:from>
    <xdr:to>
      <xdr:col>15</xdr:col>
      <xdr:colOff>2209800</xdr:colOff>
      <xdr:row>51</xdr:row>
      <xdr:rowOff>76200</xdr:rowOff>
    </xdr:to>
    <xdr:pic>
      <xdr:nvPicPr>
        <xdr:cNvPr id="20" name="Picture 45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96475" y="5267325"/>
          <a:ext cx="1895475" cy="2647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5</xdr:row>
          <xdr:rowOff>47625</xdr:rowOff>
        </xdr:from>
        <xdr:to>
          <xdr:col>5</xdr:col>
          <xdr:colOff>295275</xdr:colOff>
          <xdr:row>7</xdr:row>
          <xdr:rowOff>57150</xdr:rowOff>
        </xdr:to>
        <xdr:sp macro="" textlink="">
          <xdr:nvSpPr>
            <xdr:cNvPr id="25601" name="cmdClear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304800</xdr:colOff>
          <xdr:row>5</xdr:row>
          <xdr:rowOff>38100</xdr:rowOff>
        </xdr:from>
        <xdr:to>
          <xdr:col>12</xdr:col>
          <xdr:colOff>542925</xdr:colOff>
          <xdr:row>7</xdr:row>
          <xdr:rowOff>38100</xdr:rowOff>
        </xdr:to>
        <xdr:sp macro="" textlink="">
          <xdr:nvSpPr>
            <xdr:cNvPr id="25602" name="cmdPrint" hidden="1">
              <a:extLst>
                <a:ext uri="{63B3BB69-23CF-44E3-9099-C40C66FF867C}">
                  <a14:compatExt spid="_x0000_s25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133350</xdr:colOff>
          <xdr:row>5</xdr:row>
          <xdr:rowOff>28575</xdr:rowOff>
        </xdr:from>
        <xdr:to>
          <xdr:col>9</xdr:col>
          <xdr:colOff>323850</xdr:colOff>
          <xdr:row>7</xdr:row>
          <xdr:rowOff>57150</xdr:rowOff>
        </xdr:to>
        <xdr:sp macro="" textlink="">
          <xdr:nvSpPr>
            <xdr:cNvPr id="25603" name="cmdOPTrend" hidden="1">
              <a:extLst>
                <a:ext uri="{63B3BB69-23CF-44E3-9099-C40C66FF867C}">
                  <a14:compatExt spid="_x0000_s256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600075</xdr:colOff>
          <xdr:row>5</xdr:row>
          <xdr:rowOff>38100</xdr:rowOff>
        </xdr:from>
        <xdr:to>
          <xdr:col>11</xdr:col>
          <xdr:colOff>57150</xdr:colOff>
          <xdr:row>7</xdr:row>
          <xdr:rowOff>57150</xdr:rowOff>
        </xdr:to>
        <xdr:sp macro="" textlink="">
          <xdr:nvSpPr>
            <xdr:cNvPr id="25604" name="cmdSave" hidden="1">
              <a:extLst>
                <a:ext uri="{63B3BB69-23CF-44E3-9099-C40C66FF867C}">
                  <a14:compatExt spid="_x0000_s25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581025</xdr:colOff>
          <xdr:row>23</xdr:row>
          <xdr:rowOff>28575</xdr:rowOff>
        </xdr:from>
        <xdr:to>
          <xdr:col>12</xdr:col>
          <xdr:colOff>733425</xdr:colOff>
          <xdr:row>24</xdr:row>
          <xdr:rowOff>0</xdr:rowOff>
        </xdr:to>
        <xdr:sp macro="" textlink="">
          <xdr:nvSpPr>
            <xdr:cNvPr id="25605" name="lbl_Audit" hidden="1">
              <a:extLst>
                <a:ext uri="{63B3BB69-23CF-44E3-9099-C40C66FF867C}">
                  <a14:compatExt spid="_x0000_s256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571500</xdr:colOff>
          <xdr:row>32</xdr:row>
          <xdr:rowOff>19050</xdr:rowOff>
        </xdr:from>
        <xdr:to>
          <xdr:col>12</xdr:col>
          <xdr:colOff>723900</xdr:colOff>
          <xdr:row>32</xdr:row>
          <xdr:rowOff>190500</xdr:rowOff>
        </xdr:to>
        <xdr:sp macro="" textlink="">
          <xdr:nvSpPr>
            <xdr:cNvPr id="25606" name="lbl_Xray_Outputs" hidden="1">
              <a:extLst>
                <a:ext uri="{63B3BB69-23CF-44E3-9099-C40C66FF867C}">
                  <a14:compatExt spid="_x0000_s256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581025</xdr:colOff>
          <xdr:row>102</xdr:row>
          <xdr:rowOff>28575</xdr:rowOff>
        </xdr:from>
        <xdr:to>
          <xdr:col>12</xdr:col>
          <xdr:colOff>733425</xdr:colOff>
          <xdr:row>103</xdr:row>
          <xdr:rowOff>0</xdr:rowOff>
        </xdr:to>
        <xdr:sp macro="" textlink="">
          <xdr:nvSpPr>
            <xdr:cNvPr id="25607" name="lbl_Electron_Outputs" hidden="1">
              <a:extLst>
                <a:ext uri="{63B3BB69-23CF-44E3-9099-C40C66FF867C}">
                  <a14:compatExt spid="_x0000_s256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581025</xdr:colOff>
          <xdr:row>121</xdr:row>
          <xdr:rowOff>28575</xdr:rowOff>
        </xdr:from>
        <xdr:to>
          <xdr:col>12</xdr:col>
          <xdr:colOff>733425</xdr:colOff>
          <xdr:row>122</xdr:row>
          <xdr:rowOff>0</xdr:rowOff>
        </xdr:to>
        <xdr:sp macro="" textlink="">
          <xdr:nvSpPr>
            <xdr:cNvPr id="25608" name="lbl_MVD_Measurements" hidden="1">
              <a:extLst>
                <a:ext uri="{63B3BB69-23CF-44E3-9099-C40C66FF867C}">
                  <a14:compatExt spid="_x0000_s256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581025</xdr:colOff>
          <xdr:row>239</xdr:row>
          <xdr:rowOff>28575</xdr:rowOff>
        </xdr:from>
        <xdr:to>
          <xdr:col>12</xdr:col>
          <xdr:colOff>733425</xdr:colOff>
          <xdr:row>240</xdr:row>
          <xdr:rowOff>0</xdr:rowOff>
        </xdr:to>
        <xdr:sp macro="" textlink="">
          <xdr:nvSpPr>
            <xdr:cNvPr id="25609" name="lbl_Registration" hidden="1">
              <a:extLst>
                <a:ext uri="{63B3BB69-23CF-44E3-9099-C40C66FF867C}">
                  <a14:compatExt spid="_x0000_s256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581025</xdr:colOff>
          <xdr:row>272</xdr:row>
          <xdr:rowOff>28575</xdr:rowOff>
        </xdr:from>
        <xdr:to>
          <xdr:col>12</xdr:col>
          <xdr:colOff>733425</xdr:colOff>
          <xdr:row>273</xdr:row>
          <xdr:rowOff>0</xdr:rowOff>
        </xdr:to>
        <xdr:sp macro="" textlink="">
          <xdr:nvSpPr>
            <xdr:cNvPr id="25610" name="lbl_Motion_Management" hidden="1">
              <a:extLst>
                <a:ext uri="{63B3BB69-23CF-44E3-9099-C40C66FF867C}">
                  <a14:compatExt spid="_x0000_s256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581025</xdr:colOff>
          <xdr:row>292</xdr:row>
          <xdr:rowOff>28575</xdr:rowOff>
        </xdr:from>
        <xdr:to>
          <xdr:col>12</xdr:col>
          <xdr:colOff>733425</xdr:colOff>
          <xdr:row>293</xdr:row>
          <xdr:rowOff>0</xdr:rowOff>
        </xdr:to>
        <xdr:sp macro="" textlink="">
          <xdr:nvSpPr>
            <xdr:cNvPr id="25611" name="lbl_KV_Planar" hidden="1">
              <a:extLst>
                <a:ext uri="{63B3BB69-23CF-44E3-9099-C40C66FF867C}">
                  <a14:compatExt spid="_x0000_s256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581025</xdr:colOff>
          <xdr:row>339</xdr:row>
          <xdr:rowOff>28575</xdr:rowOff>
        </xdr:from>
        <xdr:to>
          <xdr:col>12</xdr:col>
          <xdr:colOff>733425</xdr:colOff>
          <xdr:row>340</xdr:row>
          <xdr:rowOff>0</xdr:rowOff>
        </xdr:to>
        <xdr:sp macro="" textlink="">
          <xdr:nvSpPr>
            <xdr:cNvPr id="25612" name="lbl_CBCT" hidden="1">
              <a:extLst>
                <a:ext uri="{63B3BB69-23CF-44E3-9099-C40C66FF867C}">
                  <a14:compatExt spid="_x0000_s256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19050</xdr:colOff>
      <xdr:row>8</xdr:row>
      <xdr:rowOff>66675</xdr:rowOff>
    </xdr:from>
    <xdr:to>
      <xdr:col>3</xdr:col>
      <xdr:colOff>495300</xdr:colOff>
      <xdr:row>12</xdr:row>
      <xdr:rowOff>190500</xdr:rowOff>
    </xdr:to>
    <xdr:grpSp>
      <xdr:nvGrpSpPr>
        <xdr:cNvPr id="33" name="Group 38"/>
        <xdr:cNvGrpSpPr>
          <a:grpSpLocks/>
        </xdr:cNvGrpSpPr>
      </xdr:nvGrpSpPr>
      <xdr:grpSpPr bwMode="auto">
        <a:xfrm>
          <a:off x="514350" y="1457325"/>
          <a:ext cx="1257300" cy="866775"/>
          <a:chOff x="0" y="0"/>
          <a:chExt cx="3286125" cy="2105025"/>
        </a:xfrm>
      </xdr:grpSpPr>
      <xdr:pic>
        <xdr:nvPicPr>
          <xdr:cNvPr id="34" name="Picture 40"/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0" y="0"/>
            <a:ext cx="3200400" cy="210502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35" name="Picture 41"/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771650" y="1238250"/>
            <a:ext cx="1514475" cy="6000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 editAs="oneCell">
    <xdr:from>
      <xdr:col>12</xdr:col>
      <xdr:colOff>581025</xdr:colOff>
      <xdr:row>102</xdr:row>
      <xdr:rowOff>28575</xdr:rowOff>
    </xdr:from>
    <xdr:to>
      <xdr:col>12</xdr:col>
      <xdr:colOff>733425</xdr:colOff>
      <xdr:row>103</xdr:row>
      <xdr:rowOff>0</xdr:rowOff>
    </xdr:to>
    <xdr:pic macro="[0]!lbl_Electron_Outputs_Click">
      <xdr:nvPicPr>
        <xdr:cNvPr id="36" name="lbl_Electron_Outputs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7506950"/>
          <a:ext cx="152400" cy="171450"/>
        </a:xfrm>
        <a:prstGeom prst="rect">
          <a:avLst/>
        </a:prstGeom>
        <a:noFill/>
        <a:ln>
          <a:noFill/>
        </a:ln>
        <a:effectLst/>
        <a:extLs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yle.bromma1/Documents/code/pymedphys/src/QAtrack/src/tes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"/>
      <sheetName val="Data"/>
      <sheetName val="Info"/>
      <sheetName val="QATrack_Main"/>
      <sheetName val="QATrack_Data"/>
      <sheetName val="QATrack_Definitions"/>
    </sheetNames>
    <sheetDataSet>
      <sheetData sheetId="0"/>
      <sheetData sheetId="1">
        <row r="32">
          <cell r="S32" t="str">
            <v>VIFIR_TB1</v>
          </cell>
          <cell r="T32" t="str">
            <v>PTW#7</v>
          </cell>
          <cell r="U32">
            <v>6.98</v>
          </cell>
          <cell r="V32">
            <v>6.32</v>
          </cell>
          <cell r="W32">
            <v>6.08</v>
          </cell>
          <cell r="X32">
            <v>6.69</v>
          </cell>
          <cell r="AA32" t="str">
            <v>VIFIR_TB1</v>
          </cell>
          <cell r="AB32" t="str">
            <v>MKS#1</v>
          </cell>
          <cell r="AC32">
            <v>51.8</v>
          </cell>
          <cell r="AD32">
            <v>51.8</v>
          </cell>
          <cell r="AE32">
            <v>49.4</v>
          </cell>
          <cell r="AF32">
            <v>47.9</v>
          </cell>
          <cell r="AG32">
            <v>46.8</v>
          </cell>
        </row>
        <row r="33">
          <cell r="S33" t="str">
            <v>VIARBUTUS_TB2</v>
          </cell>
          <cell r="T33" t="str">
            <v>PTW#7</v>
          </cell>
          <cell r="U33">
            <v>6.96</v>
          </cell>
          <cell r="V33">
            <v>6.32</v>
          </cell>
          <cell r="W33">
            <v>6.07</v>
          </cell>
          <cell r="X33">
            <v>6.69</v>
          </cell>
          <cell r="AA33" t="str">
            <v>VIARBUTUS_TB2</v>
          </cell>
          <cell r="AB33" t="str">
            <v>MKS#1</v>
          </cell>
          <cell r="AC33">
            <v>51.5</v>
          </cell>
          <cell r="AD33">
            <v>52</v>
          </cell>
          <cell r="AE33">
            <v>49.4</v>
          </cell>
          <cell r="AF33">
            <v>47.8</v>
          </cell>
          <cell r="AG33">
            <v>46.6</v>
          </cell>
        </row>
        <row r="34">
          <cell r="S34" t="str">
            <v>VIBIRCH_TB3</v>
          </cell>
          <cell r="T34" t="str">
            <v>PTW#7</v>
          </cell>
          <cell r="U34">
            <v>6.96</v>
          </cell>
          <cell r="V34">
            <v>6.32</v>
          </cell>
          <cell r="W34">
            <v>6.08</v>
          </cell>
          <cell r="X34">
            <v>6.69</v>
          </cell>
          <cell r="AA34" t="str">
            <v>VIBIRCH_TB3</v>
          </cell>
          <cell r="AB34" t="str">
            <v>MKS#1</v>
          </cell>
          <cell r="AC34">
            <v>51.8</v>
          </cell>
          <cell r="AD34">
            <v>52.3</v>
          </cell>
          <cell r="AE34">
            <v>49.5</v>
          </cell>
          <cell r="AF34">
            <v>48</v>
          </cell>
          <cell r="AG34">
            <v>46.8</v>
          </cell>
        </row>
        <row r="35">
          <cell r="S35" t="str">
            <v>VICEDAR_TB4</v>
          </cell>
          <cell r="T35" t="str">
            <v>PTW#7</v>
          </cell>
          <cell r="U35">
            <v>6.96</v>
          </cell>
          <cell r="V35">
            <v>6.32</v>
          </cell>
          <cell r="W35">
            <v>6.07</v>
          </cell>
          <cell r="X35">
            <v>6.69</v>
          </cell>
        </row>
        <row r="36">
          <cell r="S36" t="str">
            <v>VISPRUCE_TB5</v>
          </cell>
          <cell r="T36" t="str">
            <v>PTW#7</v>
          </cell>
          <cell r="U36">
            <v>6.95</v>
          </cell>
          <cell r="V36">
            <v>6.31</v>
          </cell>
          <cell r="W36">
            <v>6.07</v>
          </cell>
          <cell r="X36">
            <v>6.68</v>
          </cell>
        </row>
        <row r="37">
          <cell r="S37" t="str">
            <v>VIOAK_TB6</v>
          </cell>
          <cell r="T37" t="str">
            <v>PTW#7</v>
          </cell>
          <cell r="U37">
            <v>6.97</v>
          </cell>
          <cell r="V37">
            <v>6.31</v>
          </cell>
          <cell r="W37">
            <v>6.07</v>
          </cell>
          <cell r="X37">
            <v>6.68</v>
          </cell>
        </row>
      </sheetData>
      <sheetData sheetId="2"/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control" Target="../activeX/activeX5.xml"/><Relationship Id="rId18" Type="http://schemas.openxmlformats.org/officeDocument/2006/relationships/control" Target="../activeX/activeX8.xml"/><Relationship Id="rId3" Type="http://schemas.openxmlformats.org/officeDocument/2006/relationships/drawing" Target="../drawings/drawing1.xml"/><Relationship Id="rId21" Type="http://schemas.openxmlformats.org/officeDocument/2006/relationships/control" Target="../activeX/activeX11.xml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17" Type="http://schemas.openxmlformats.org/officeDocument/2006/relationships/control" Target="../activeX/activeX7.xml"/><Relationship Id="rId2" Type="http://schemas.openxmlformats.org/officeDocument/2006/relationships/printerSettings" Target="../printerSettings/printerSettings2.bin"/><Relationship Id="rId16" Type="http://schemas.openxmlformats.org/officeDocument/2006/relationships/image" Target="../media/image6.emf"/><Relationship Id="rId20" Type="http://schemas.openxmlformats.org/officeDocument/2006/relationships/control" Target="../activeX/activeX10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11" Type="http://schemas.openxmlformats.org/officeDocument/2006/relationships/control" Target="../activeX/activeX4.xml"/><Relationship Id="rId5" Type="http://schemas.openxmlformats.org/officeDocument/2006/relationships/control" Target="../activeX/activeX1.xml"/><Relationship Id="rId15" Type="http://schemas.openxmlformats.org/officeDocument/2006/relationships/control" Target="../activeX/activeX6.xml"/><Relationship Id="rId23" Type="http://schemas.openxmlformats.org/officeDocument/2006/relationships/comments" Target="../comments1.xml"/><Relationship Id="rId10" Type="http://schemas.openxmlformats.org/officeDocument/2006/relationships/image" Target="../media/image3.emf"/><Relationship Id="rId19" Type="http://schemas.openxmlformats.org/officeDocument/2006/relationships/control" Target="../activeX/activeX9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image" Target="../media/image5.emf"/><Relationship Id="rId22" Type="http://schemas.openxmlformats.org/officeDocument/2006/relationships/control" Target="../activeX/activeX1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13" Type="http://schemas.openxmlformats.org/officeDocument/2006/relationships/image" Target="../media/image6.emf"/><Relationship Id="rId18" Type="http://schemas.openxmlformats.org/officeDocument/2006/relationships/control" Target="../activeX/activeX22.xml"/><Relationship Id="rId3" Type="http://schemas.openxmlformats.org/officeDocument/2006/relationships/vmlDrawing" Target="../drawings/vmlDrawing3.vml"/><Relationship Id="rId21" Type="http://schemas.openxmlformats.org/officeDocument/2006/relationships/comments" Target="../comments3.xml"/><Relationship Id="rId7" Type="http://schemas.openxmlformats.org/officeDocument/2006/relationships/image" Target="../media/image11.emf"/><Relationship Id="rId12" Type="http://schemas.openxmlformats.org/officeDocument/2006/relationships/control" Target="../activeX/activeX17.xml"/><Relationship Id="rId17" Type="http://schemas.openxmlformats.org/officeDocument/2006/relationships/control" Target="../activeX/activeX21.xml"/><Relationship Id="rId2" Type="http://schemas.openxmlformats.org/officeDocument/2006/relationships/drawing" Target="../drawings/drawing2.xml"/><Relationship Id="rId16" Type="http://schemas.openxmlformats.org/officeDocument/2006/relationships/control" Target="../activeX/activeX20.xml"/><Relationship Id="rId20" Type="http://schemas.openxmlformats.org/officeDocument/2006/relationships/control" Target="../activeX/activeX24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4.xml"/><Relationship Id="rId11" Type="http://schemas.openxmlformats.org/officeDocument/2006/relationships/image" Target="../media/image13.emf"/><Relationship Id="rId5" Type="http://schemas.openxmlformats.org/officeDocument/2006/relationships/image" Target="../media/image10.emf"/><Relationship Id="rId15" Type="http://schemas.openxmlformats.org/officeDocument/2006/relationships/control" Target="../activeX/activeX19.xml"/><Relationship Id="rId10" Type="http://schemas.openxmlformats.org/officeDocument/2006/relationships/control" Target="../activeX/activeX16.xml"/><Relationship Id="rId19" Type="http://schemas.openxmlformats.org/officeDocument/2006/relationships/control" Target="../activeX/activeX23.xml"/><Relationship Id="rId4" Type="http://schemas.openxmlformats.org/officeDocument/2006/relationships/control" Target="../activeX/activeX13.xml"/><Relationship Id="rId9" Type="http://schemas.openxmlformats.org/officeDocument/2006/relationships/image" Target="../media/image12.emf"/><Relationship Id="rId14" Type="http://schemas.openxmlformats.org/officeDocument/2006/relationships/control" Target="../activeX/activeX1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7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I383"/>
  <sheetViews>
    <sheetView topLeftCell="A10" zoomScaleNormal="100" workbookViewId="0">
      <selection activeCell="I55" sqref="I55"/>
    </sheetView>
  </sheetViews>
  <sheetFormatPr defaultRowHeight="12.75" x14ac:dyDescent="0.2"/>
  <cols>
    <col min="1" max="1" width="3.7109375" style="3" customWidth="1"/>
    <col min="2" max="2" width="3.7109375" customWidth="1"/>
    <col min="3" max="13" width="11.7109375" customWidth="1"/>
    <col min="14" max="14" width="3.7109375" customWidth="1"/>
    <col min="15" max="15" width="3.7109375" style="3" customWidth="1"/>
    <col min="16" max="16" width="56.140625" style="93" customWidth="1"/>
    <col min="17" max="32" width="10.7109375" customWidth="1"/>
    <col min="33" max="39" width="15.7109375" customWidth="1"/>
    <col min="40" max="47" width="12.7109375" customWidth="1"/>
  </cols>
  <sheetData>
    <row r="1" spans="2:46" ht="13.5" thickBot="1" x14ac:dyDescent="0.25"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P1" s="91"/>
    </row>
    <row r="2" spans="2:46" ht="15.75" x14ac:dyDescent="0.25">
      <c r="B2" s="203"/>
      <c r="C2" s="204" t="s">
        <v>69</v>
      </c>
      <c r="D2" s="205"/>
      <c r="E2" s="206" t="s">
        <v>70</v>
      </c>
      <c r="F2" s="206"/>
      <c r="G2" s="206"/>
      <c r="H2" s="206"/>
      <c r="I2" s="205"/>
      <c r="J2" s="205"/>
      <c r="K2" s="205"/>
      <c r="L2" s="205"/>
      <c r="M2" s="205"/>
      <c r="N2" s="207"/>
      <c r="P2" s="92" t="s">
        <v>158</v>
      </c>
    </row>
    <row r="3" spans="2:46" x14ac:dyDescent="0.2">
      <c r="B3" s="208"/>
      <c r="C3" s="209"/>
      <c r="D3" s="210"/>
      <c r="E3" s="211" t="s">
        <v>442</v>
      </c>
      <c r="F3" s="209"/>
      <c r="G3" s="209"/>
      <c r="H3" s="209"/>
      <c r="I3" s="212"/>
      <c r="J3" s="212"/>
      <c r="K3" s="212"/>
      <c r="L3" s="212"/>
      <c r="M3" s="212"/>
      <c r="N3" s="213"/>
    </row>
    <row r="4" spans="2:46" ht="15.75" x14ac:dyDescent="0.25">
      <c r="B4" s="208"/>
      <c r="C4" s="214" t="s">
        <v>111</v>
      </c>
      <c r="D4" s="212"/>
      <c r="E4" s="209" t="s">
        <v>140</v>
      </c>
      <c r="F4" s="212"/>
      <c r="G4" s="212"/>
      <c r="H4" s="212"/>
      <c r="I4" s="212"/>
      <c r="J4" s="212"/>
      <c r="K4" s="212"/>
      <c r="L4" s="212"/>
      <c r="M4" s="212"/>
      <c r="N4" s="213"/>
    </row>
    <row r="5" spans="2:46" x14ac:dyDescent="0.2">
      <c r="B5" s="208"/>
      <c r="C5" s="212"/>
      <c r="D5" s="212"/>
      <c r="E5" s="209" t="s">
        <v>141</v>
      </c>
      <c r="F5" s="212"/>
      <c r="G5" s="212"/>
      <c r="H5" s="212"/>
      <c r="I5" s="212"/>
      <c r="J5" s="212"/>
      <c r="K5" s="212"/>
      <c r="L5" s="212"/>
      <c r="M5" s="212"/>
      <c r="N5" s="213"/>
      <c r="AN5" s="68"/>
      <c r="AO5" s="68"/>
      <c r="AP5" s="68"/>
      <c r="AQ5" s="68"/>
      <c r="AR5" s="68"/>
      <c r="AS5" s="68"/>
      <c r="AT5" s="68"/>
    </row>
    <row r="6" spans="2:46" x14ac:dyDescent="0.2">
      <c r="B6" s="208"/>
      <c r="C6" s="210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3"/>
    </row>
    <row r="7" spans="2:46" x14ac:dyDescent="0.2">
      <c r="B7" s="208"/>
      <c r="C7" s="212"/>
      <c r="D7" s="212"/>
      <c r="E7" s="212"/>
      <c r="F7" s="212"/>
      <c r="G7" s="212"/>
      <c r="H7" s="212"/>
      <c r="I7" s="212"/>
      <c r="J7" s="212"/>
      <c r="K7" s="212"/>
      <c r="L7" s="212"/>
      <c r="M7" s="212"/>
      <c r="N7" s="213"/>
      <c r="P7" s="271"/>
    </row>
    <row r="8" spans="2:46" ht="13.5" thickBot="1" x14ac:dyDescent="0.25">
      <c r="B8" s="215"/>
      <c r="C8" s="216"/>
      <c r="D8" s="216"/>
      <c r="E8" s="216"/>
      <c r="F8" s="216"/>
      <c r="G8" s="216"/>
      <c r="H8" s="216"/>
      <c r="I8" s="216"/>
      <c r="J8" s="216"/>
      <c r="K8" s="216"/>
      <c r="L8" s="216"/>
      <c r="M8" s="216"/>
      <c r="N8" s="217"/>
    </row>
    <row r="9" spans="2:46" x14ac:dyDescent="0.2">
      <c r="B9" s="224"/>
      <c r="C9" s="225"/>
      <c r="D9" s="225"/>
      <c r="E9" s="225"/>
      <c r="F9" s="225"/>
      <c r="G9" s="225"/>
      <c r="H9" s="225"/>
      <c r="I9" s="225"/>
      <c r="J9" s="225"/>
      <c r="K9" s="225"/>
      <c r="L9" s="225"/>
      <c r="M9" s="225"/>
      <c r="N9" s="226"/>
    </row>
    <row r="10" spans="2:46" ht="12" customHeight="1" x14ac:dyDescent="0.2">
      <c r="B10" s="22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228"/>
      <c r="O10" s="4"/>
    </row>
    <row r="11" spans="2:46" ht="18" x14ac:dyDescent="0.25">
      <c r="B11" s="227"/>
      <c r="C11" s="7"/>
      <c r="D11" s="7"/>
      <c r="E11" s="7"/>
      <c r="F11" s="7"/>
      <c r="G11" s="7"/>
      <c r="H11" s="8" t="s">
        <v>0</v>
      </c>
      <c r="I11" s="7"/>
      <c r="J11" s="7"/>
      <c r="K11" s="7"/>
      <c r="L11" s="90" t="str">
        <f>"(v."&amp;TEXT(Info!$A$5,"0.000")&amp;", "&amp;TEXT(Info!$B$5,"dd-mmm-yyyy")&amp;")"</f>
        <v>(v.2.219, 05-Dec-2022)</v>
      </c>
      <c r="M11" s="7"/>
      <c r="N11" s="228"/>
      <c r="O11" s="4"/>
    </row>
    <row r="12" spans="2:46" ht="15.75" x14ac:dyDescent="0.25">
      <c r="B12" s="227"/>
      <c r="C12" s="7"/>
      <c r="D12" s="7"/>
      <c r="E12" s="7"/>
      <c r="F12" s="7"/>
      <c r="G12" s="7"/>
      <c r="H12" s="317" t="s">
        <v>127</v>
      </c>
      <c r="I12" s="318"/>
      <c r="J12" s="319"/>
      <c r="K12" s="9"/>
      <c r="L12" s="72" t="s">
        <v>7</v>
      </c>
      <c r="M12" s="72">
        <v>2023</v>
      </c>
      <c r="N12" s="228"/>
      <c r="O12" s="4"/>
    </row>
    <row r="13" spans="2:46" ht="20.100000000000001" customHeight="1" thickBot="1" x14ac:dyDescent="0.25">
      <c r="B13" s="227"/>
      <c r="C13" s="7"/>
      <c r="D13" s="7"/>
      <c r="E13" s="7"/>
      <c r="F13" s="7"/>
      <c r="G13" s="7"/>
      <c r="H13" s="263" t="str">
        <f>IF(H12="","",VLOOKUP(H12,Data!A21:I26,3,FALSE)&amp;" "&amp;VLOOKUP(H12,Data!A21:I26,5,FALSE)&amp;" s/n: "&amp;VLOOKUP(H12,Data!A21:I26,7,FALSE))</f>
        <v>Varian Truebeam s/n: 1236</v>
      </c>
      <c r="I13" s="7"/>
      <c r="J13" s="7"/>
      <c r="K13" s="7"/>
      <c r="L13" s="7"/>
      <c r="M13" s="7"/>
      <c r="N13" s="228"/>
      <c r="O13" s="4"/>
    </row>
    <row r="14" spans="2:46" ht="17.25" thickTop="1" thickBot="1" x14ac:dyDescent="0.3">
      <c r="B14" s="227"/>
      <c r="C14" s="10" t="s">
        <v>15</v>
      </c>
      <c r="D14" s="11"/>
      <c r="E14" s="11"/>
      <c r="F14" s="11"/>
      <c r="G14" s="11"/>
      <c r="H14" s="11"/>
      <c r="I14" s="11"/>
      <c r="J14" s="11"/>
      <c r="K14" s="11"/>
      <c r="L14" s="11"/>
      <c r="M14" s="12"/>
      <c r="N14" s="228"/>
      <c r="O14" s="4"/>
    </row>
    <row r="15" spans="2:46" ht="16.5" thickTop="1" thickBot="1" x14ac:dyDescent="0.3">
      <c r="B15" s="227"/>
      <c r="C15" s="187"/>
      <c r="D15" s="1"/>
      <c r="E15" s="276" t="s">
        <v>510</v>
      </c>
      <c r="F15" s="330" t="s">
        <v>22</v>
      </c>
      <c r="G15" s="331"/>
      <c r="I15" s="275" t="s">
        <v>511</v>
      </c>
      <c r="J15" s="21" t="s">
        <v>91</v>
      </c>
      <c r="K15" s="7"/>
      <c r="L15" s="185" t="s">
        <v>421</v>
      </c>
      <c r="M15" s="186" t="s">
        <v>91</v>
      </c>
      <c r="N15" s="228"/>
      <c r="O15" s="4"/>
    </row>
    <row r="16" spans="2:46" ht="13.5" thickTop="1" x14ac:dyDescent="0.2">
      <c r="B16" s="227"/>
      <c r="C16" s="278" t="s">
        <v>422</v>
      </c>
      <c r="D16" s="7"/>
      <c r="E16" s="15"/>
      <c r="F16" s="7"/>
      <c r="G16" s="7"/>
      <c r="H16" s="7"/>
      <c r="I16" s="7"/>
      <c r="J16" s="7"/>
      <c r="K16" s="7"/>
      <c r="L16" s="7"/>
      <c r="M16" s="13"/>
      <c r="N16" s="228"/>
      <c r="O16" s="4"/>
    </row>
    <row r="17" spans="2:15" x14ac:dyDescent="0.2">
      <c r="B17" s="227"/>
      <c r="C17" s="320" t="s">
        <v>534</v>
      </c>
      <c r="D17" s="321"/>
      <c r="E17" s="321"/>
      <c r="F17" s="321"/>
      <c r="G17" s="321"/>
      <c r="H17" s="321"/>
      <c r="I17" s="321"/>
      <c r="J17" s="321"/>
      <c r="K17" s="321"/>
      <c r="L17" s="321"/>
      <c r="M17" s="322"/>
      <c r="N17" s="228"/>
      <c r="O17" s="4"/>
    </row>
    <row r="18" spans="2:15" x14ac:dyDescent="0.2">
      <c r="B18" s="227"/>
      <c r="C18" s="323"/>
      <c r="D18" s="324"/>
      <c r="E18" s="324"/>
      <c r="F18" s="324"/>
      <c r="G18" s="324"/>
      <c r="H18" s="324"/>
      <c r="I18" s="324"/>
      <c r="J18" s="324"/>
      <c r="K18" s="324"/>
      <c r="L18" s="324"/>
      <c r="M18" s="325"/>
      <c r="N18" s="228"/>
      <c r="O18" s="4"/>
    </row>
    <row r="19" spans="2:15" x14ac:dyDescent="0.2">
      <c r="B19" s="227"/>
      <c r="C19" s="326"/>
      <c r="D19" s="327"/>
      <c r="E19" s="327"/>
      <c r="F19" s="327"/>
      <c r="G19" s="327"/>
      <c r="H19" s="327"/>
      <c r="I19" s="327"/>
      <c r="J19" s="327"/>
      <c r="K19" s="327"/>
      <c r="L19" s="327"/>
      <c r="M19" s="328"/>
      <c r="N19" s="228"/>
      <c r="O19" s="4"/>
    </row>
    <row r="20" spans="2:15" x14ac:dyDescent="0.2">
      <c r="B20" s="227"/>
      <c r="C20" s="280"/>
      <c r="D20" s="78"/>
      <c r="E20" s="78"/>
      <c r="F20" s="78"/>
      <c r="G20" s="78"/>
      <c r="H20" s="78"/>
      <c r="I20" s="78"/>
      <c r="J20" s="78"/>
      <c r="K20" s="78"/>
      <c r="L20" s="78"/>
      <c r="M20" s="281"/>
      <c r="N20" s="228"/>
      <c r="O20" s="4"/>
    </row>
    <row r="21" spans="2:15" ht="21" customHeight="1" x14ac:dyDescent="0.25">
      <c r="B21" s="227"/>
      <c r="C21" s="14"/>
      <c r="E21" s="16" t="s">
        <v>470</v>
      </c>
      <c r="F21" s="332" t="s">
        <v>17</v>
      </c>
      <c r="G21" s="333"/>
      <c r="I21" s="89"/>
      <c r="J21" s="89"/>
      <c r="K21" s="89"/>
      <c r="L21" s="16" t="s">
        <v>304</v>
      </c>
      <c r="M21" s="279">
        <v>45120</v>
      </c>
      <c r="N21" s="228"/>
      <c r="O21" s="4"/>
    </row>
    <row r="22" spans="2:15" ht="13.5" thickBot="1" x14ac:dyDescent="0.25">
      <c r="B22" s="227"/>
      <c r="C22" s="17"/>
      <c r="D22" s="18"/>
      <c r="E22" s="277"/>
      <c r="F22" s="73" t="s">
        <v>16</v>
      </c>
      <c r="G22" s="18"/>
      <c r="H22" s="18"/>
      <c r="I22" s="18"/>
      <c r="J22" s="18"/>
      <c r="K22" s="18"/>
      <c r="L22" s="18"/>
      <c r="M22" s="158"/>
      <c r="N22" s="229"/>
      <c r="O22" s="4"/>
    </row>
    <row r="23" spans="2:15" ht="13.5" thickTop="1" x14ac:dyDescent="0.2">
      <c r="B23" s="22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228"/>
      <c r="O23" s="4"/>
    </row>
    <row r="24" spans="2:15" ht="15.75" x14ac:dyDescent="0.25">
      <c r="B24" s="230"/>
      <c r="C24" s="113" t="s">
        <v>68</v>
      </c>
      <c r="D24" s="114"/>
      <c r="E24" s="114"/>
      <c r="F24" s="114"/>
      <c r="G24" s="114"/>
      <c r="H24" s="114"/>
      <c r="I24" s="114"/>
      <c r="J24" s="197" t="s">
        <v>472</v>
      </c>
      <c r="K24" s="329" t="s">
        <v>17</v>
      </c>
      <c r="L24" s="329"/>
      <c r="M24" s="114"/>
      <c r="N24" s="228"/>
      <c r="O24" s="4"/>
    </row>
    <row r="25" spans="2:15" ht="12" customHeight="1" x14ac:dyDescent="0.25">
      <c r="B25" s="227"/>
      <c r="C25" s="20"/>
      <c r="D25" s="7"/>
      <c r="E25" s="7"/>
      <c r="F25" s="7"/>
      <c r="G25" s="7"/>
      <c r="H25" s="7"/>
      <c r="I25" s="7"/>
      <c r="J25" s="143"/>
      <c r="K25" s="7"/>
      <c r="L25" s="7"/>
      <c r="M25" s="7"/>
      <c r="N25" s="228"/>
      <c r="O25" s="4"/>
    </row>
    <row r="26" spans="2:15" hidden="1" x14ac:dyDescent="0.2">
      <c r="B26" s="227"/>
      <c r="C26" s="196"/>
      <c r="D26" s="7"/>
      <c r="E26" s="7"/>
      <c r="F26" s="7"/>
      <c r="G26" s="7"/>
      <c r="H26" s="19"/>
      <c r="I26" s="7"/>
      <c r="J26" s="15" t="s">
        <v>441</v>
      </c>
      <c r="K26" s="7"/>
      <c r="L26" s="7"/>
      <c r="M26" s="7"/>
      <c r="N26" s="228"/>
      <c r="O26" s="4"/>
    </row>
    <row r="27" spans="2:15" hidden="1" x14ac:dyDescent="0.2">
      <c r="B27" s="227"/>
      <c r="C27" s="7" t="s">
        <v>27</v>
      </c>
      <c r="D27" s="7"/>
      <c r="E27" s="7"/>
      <c r="F27" s="7"/>
      <c r="G27" s="7"/>
      <c r="H27" s="194" t="s">
        <v>417</v>
      </c>
      <c r="I27" s="7"/>
      <c r="J27" s="314"/>
      <c r="K27" s="315"/>
      <c r="L27" s="315"/>
      <c r="M27" s="316"/>
      <c r="N27" s="228"/>
      <c r="O27" s="4"/>
    </row>
    <row r="28" spans="2:15" hidden="1" x14ac:dyDescent="0.2">
      <c r="B28" s="227"/>
      <c r="C28" s="7" t="s">
        <v>25</v>
      </c>
      <c r="D28" s="7"/>
      <c r="E28" s="7"/>
      <c r="F28" s="7"/>
      <c r="G28" s="7"/>
      <c r="H28" s="194" t="s">
        <v>417</v>
      </c>
      <c r="I28" s="7"/>
      <c r="J28" s="314"/>
      <c r="K28" s="315"/>
      <c r="L28" s="315"/>
      <c r="M28" s="316"/>
      <c r="N28" s="228"/>
      <c r="O28" s="4"/>
    </row>
    <row r="29" spans="2:15" hidden="1" x14ac:dyDescent="0.2">
      <c r="B29" s="227"/>
      <c r="C29" s="7" t="s">
        <v>24</v>
      </c>
      <c r="D29" s="7"/>
      <c r="E29" s="7"/>
      <c r="F29" s="7"/>
      <c r="G29" s="7"/>
      <c r="H29" s="194" t="s">
        <v>417</v>
      </c>
      <c r="I29" s="7"/>
      <c r="J29" s="314"/>
      <c r="K29" s="315"/>
      <c r="L29" s="315"/>
      <c r="M29" s="316"/>
      <c r="N29" s="228"/>
      <c r="O29" s="4"/>
    </row>
    <row r="30" spans="2:15" hidden="1" x14ac:dyDescent="0.2">
      <c r="B30" s="227"/>
      <c r="C30" s="7" t="s">
        <v>26</v>
      </c>
      <c r="D30" s="7"/>
      <c r="E30" s="7"/>
      <c r="F30" s="7"/>
      <c r="G30" s="7"/>
      <c r="H30" s="194" t="s">
        <v>417</v>
      </c>
      <c r="I30" s="7"/>
      <c r="J30" s="314"/>
      <c r="K30" s="315"/>
      <c r="L30" s="315"/>
      <c r="M30" s="316"/>
      <c r="N30" s="228"/>
      <c r="O30" s="4"/>
    </row>
    <row r="31" spans="2:15" hidden="1" x14ac:dyDescent="0.2">
      <c r="B31" s="227"/>
      <c r="C31" s="79" t="s">
        <v>512</v>
      </c>
      <c r="D31" s="7"/>
      <c r="E31" s="7"/>
      <c r="F31" s="7"/>
      <c r="G31" s="7"/>
      <c r="H31" s="194" t="s">
        <v>417</v>
      </c>
      <c r="I31" s="7"/>
      <c r="J31" s="314" t="s">
        <v>535</v>
      </c>
      <c r="K31" s="315"/>
      <c r="L31" s="315"/>
      <c r="M31" s="316"/>
      <c r="N31" s="228"/>
      <c r="O31" s="4"/>
    </row>
    <row r="32" spans="2:15" hidden="1" x14ac:dyDescent="0.2">
      <c r="B32" s="22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228"/>
      <c r="O32" s="4"/>
    </row>
    <row r="33" spans="2:61" ht="15.75" x14ac:dyDescent="0.25">
      <c r="B33" s="230"/>
      <c r="C33" s="113" t="s">
        <v>265</v>
      </c>
      <c r="D33" s="114"/>
      <c r="E33" s="114"/>
      <c r="F33" s="114"/>
      <c r="G33" s="114"/>
      <c r="H33" s="114"/>
      <c r="I33" s="114"/>
      <c r="J33" s="197" t="s">
        <v>472</v>
      </c>
      <c r="K33" s="329" t="s">
        <v>528</v>
      </c>
      <c r="L33" s="329"/>
      <c r="M33" s="114"/>
      <c r="N33" s="228"/>
      <c r="O33" s="4"/>
    </row>
    <row r="34" spans="2:61" x14ac:dyDescent="0.2">
      <c r="B34" s="22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228"/>
      <c r="O34" s="4"/>
    </row>
    <row r="35" spans="2:61" ht="18.75" x14ac:dyDescent="0.35">
      <c r="B35" s="227"/>
      <c r="C35" s="22" t="s">
        <v>250</v>
      </c>
      <c r="D35" s="59">
        <v>764.9</v>
      </c>
      <c r="E35" s="1"/>
      <c r="F35" s="22" t="s">
        <v>249</v>
      </c>
      <c r="G35" s="59">
        <v>22.1</v>
      </c>
      <c r="H35" s="1"/>
      <c r="I35" s="22" t="s">
        <v>262</v>
      </c>
      <c r="J35" s="23">
        <f>IF(OR(D35="",G35=""),"",(760/D35)*(273.15+G35)/295.15)</f>
        <v>0.99393057417751185</v>
      </c>
      <c r="K35" s="80"/>
      <c r="L35" s="80"/>
      <c r="M35" s="80"/>
      <c r="N35" s="228"/>
      <c r="O35" s="4"/>
      <c r="P35" s="144"/>
    </row>
    <row r="36" spans="2:61" ht="15.75" customHeight="1" x14ac:dyDescent="0.2">
      <c r="B36" s="227"/>
      <c r="C36" s="7"/>
      <c r="D36" s="7"/>
      <c r="E36" s="7"/>
      <c r="F36" s="7"/>
      <c r="G36" s="7"/>
      <c r="H36" s="7"/>
      <c r="I36" s="7"/>
      <c r="J36" s="7"/>
      <c r="K36" s="80"/>
      <c r="L36" s="80"/>
      <c r="M36" s="80"/>
      <c r="N36" s="228"/>
      <c r="O36" s="4"/>
    </row>
    <row r="37" spans="2:61" ht="14.25" x14ac:dyDescent="0.25">
      <c r="B37" s="227"/>
      <c r="C37" s="24" t="s">
        <v>123</v>
      </c>
      <c r="D37" s="21" t="s">
        <v>129</v>
      </c>
      <c r="E37" s="1"/>
      <c r="F37" s="24" t="s">
        <v>28</v>
      </c>
      <c r="G37" s="25" t="s">
        <v>119</v>
      </c>
      <c r="H37" s="7"/>
      <c r="I37" s="185" t="s">
        <v>479</v>
      </c>
      <c r="J37" s="71">
        <f>IF(D37="","",VLOOKUP(D37,Data!A31:E36,5,FALSE))</f>
        <v>1.0154591171540324</v>
      </c>
      <c r="K37" s="80"/>
      <c r="L37" s="80"/>
      <c r="M37" s="80"/>
      <c r="N37" s="228"/>
      <c r="O37" s="4"/>
      <c r="AY37" s="68"/>
      <c r="AZ37" s="68"/>
      <c r="BA37" s="68"/>
      <c r="BB37" s="68"/>
      <c r="BC37" s="68"/>
      <c r="BD37" s="68"/>
      <c r="BE37" s="68"/>
      <c r="BF37" s="68"/>
      <c r="BG37" s="68"/>
      <c r="BH37" s="68"/>
      <c r="BI37" s="68"/>
    </row>
    <row r="38" spans="2:61" x14ac:dyDescent="0.2">
      <c r="B38" s="227"/>
      <c r="C38" s="7"/>
      <c r="D38" s="7"/>
      <c r="E38" s="7"/>
      <c r="F38" s="57" t="s">
        <v>37</v>
      </c>
      <c r="G38" s="7"/>
      <c r="H38" s="80"/>
      <c r="I38" s="1"/>
      <c r="J38" s="80"/>
      <c r="K38" s="7"/>
      <c r="L38" s="7"/>
      <c r="M38" s="7"/>
      <c r="N38" s="228"/>
      <c r="O38" s="4"/>
    </row>
    <row r="39" spans="2:61" x14ac:dyDescent="0.2">
      <c r="B39" s="227"/>
      <c r="C39" s="7"/>
      <c r="D39" s="7"/>
      <c r="E39" s="7"/>
      <c r="F39" s="7"/>
      <c r="G39" s="7"/>
      <c r="H39" s="1"/>
      <c r="I39" s="57"/>
      <c r="J39" s="7"/>
      <c r="K39" s="7"/>
      <c r="L39" s="7"/>
      <c r="M39" s="7"/>
      <c r="N39" s="228"/>
      <c r="O39" s="4"/>
    </row>
    <row r="40" spans="2:61" x14ac:dyDescent="0.2">
      <c r="B40" s="227"/>
      <c r="C40" s="79" t="s">
        <v>183</v>
      </c>
      <c r="D40" s="7"/>
      <c r="E40" s="7"/>
      <c r="F40" s="7"/>
      <c r="G40" s="7"/>
      <c r="H40" s="7"/>
      <c r="I40" s="7"/>
      <c r="J40" s="7"/>
      <c r="K40" s="7"/>
      <c r="L40" s="7"/>
      <c r="M40" s="7"/>
      <c r="N40" s="228"/>
      <c r="O40" s="4"/>
    </row>
    <row r="41" spans="2:61" x14ac:dyDescent="0.2">
      <c r="B41" s="227"/>
      <c r="C41" s="79" t="s">
        <v>490</v>
      </c>
      <c r="D41" s="7"/>
      <c r="E41" s="7"/>
      <c r="F41" s="7"/>
      <c r="G41" s="7"/>
      <c r="H41" s="7"/>
      <c r="I41" s="7"/>
      <c r="J41" s="7"/>
      <c r="K41" s="7"/>
      <c r="L41" s="7"/>
      <c r="M41" s="7"/>
      <c r="N41" s="228"/>
      <c r="O41" s="4"/>
    </row>
    <row r="42" spans="2:61" x14ac:dyDescent="0.2">
      <c r="B42" s="227"/>
      <c r="C42" s="79" t="s">
        <v>455</v>
      </c>
      <c r="D42" s="7"/>
      <c r="E42" s="7"/>
      <c r="F42" s="7"/>
      <c r="G42" s="7"/>
      <c r="H42" s="7"/>
      <c r="I42" s="7"/>
      <c r="J42" s="7"/>
      <c r="K42" s="7"/>
      <c r="L42" s="7"/>
      <c r="M42" s="7"/>
      <c r="N42" s="228"/>
      <c r="O42" s="4"/>
    </row>
    <row r="43" spans="2:61" x14ac:dyDescent="0.2">
      <c r="B43" s="227"/>
      <c r="C43" s="79"/>
      <c r="D43" s="7"/>
      <c r="E43" s="7"/>
      <c r="F43" s="7"/>
      <c r="G43" s="7"/>
      <c r="H43" s="7"/>
      <c r="I43" s="7"/>
      <c r="J43" s="7"/>
      <c r="K43" s="7"/>
      <c r="L43" s="7"/>
      <c r="M43" s="7"/>
      <c r="N43" s="228"/>
      <c r="O43" s="4"/>
    </row>
    <row r="44" spans="2:61" x14ac:dyDescent="0.2">
      <c r="B44" s="227"/>
      <c r="C44" s="108" t="s">
        <v>321</v>
      </c>
      <c r="D44" s="7"/>
      <c r="E44" s="7"/>
      <c r="F44" s="161" t="s">
        <v>322</v>
      </c>
      <c r="G44" s="7"/>
      <c r="H44" s="7"/>
      <c r="I44" s="7"/>
      <c r="J44" s="7"/>
      <c r="K44" s="7"/>
      <c r="L44" s="7"/>
      <c r="M44" s="7"/>
      <c r="N44" s="228"/>
      <c r="O44" s="4"/>
      <c r="P44" s="144"/>
    </row>
    <row r="45" spans="2:61" x14ac:dyDescent="0.2">
      <c r="B45" s="227"/>
      <c r="C45" s="26" t="s">
        <v>38</v>
      </c>
      <c r="D45" s="26" t="s">
        <v>43</v>
      </c>
      <c r="E45" s="26" t="s">
        <v>39</v>
      </c>
      <c r="F45" s="26" t="s">
        <v>40</v>
      </c>
      <c r="G45" s="26" t="s">
        <v>41</v>
      </c>
      <c r="H45" s="26" t="s">
        <v>42</v>
      </c>
      <c r="I45" s="26" t="s">
        <v>49</v>
      </c>
      <c r="J45" s="26" t="s">
        <v>66</v>
      </c>
      <c r="K45" s="26" t="s">
        <v>51</v>
      </c>
      <c r="L45" s="27" t="s">
        <v>44</v>
      </c>
      <c r="M45" s="28"/>
      <c r="N45" s="228"/>
      <c r="O45" s="4"/>
    </row>
    <row r="46" spans="2:61" x14ac:dyDescent="0.2">
      <c r="B46" s="227"/>
      <c r="C46" s="29" t="s">
        <v>45</v>
      </c>
      <c r="D46" s="29" t="s">
        <v>46</v>
      </c>
      <c r="E46" s="29" t="s">
        <v>47</v>
      </c>
      <c r="F46" s="29" t="s">
        <v>47</v>
      </c>
      <c r="G46" s="29" t="s">
        <v>47</v>
      </c>
      <c r="H46" s="29" t="s">
        <v>47</v>
      </c>
      <c r="I46" s="29" t="s">
        <v>48</v>
      </c>
      <c r="J46" s="29" t="s">
        <v>48</v>
      </c>
      <c r="K46" s="29" t="s">
        <v>50</v>
      </c>
      <c r="L46" s="29" t="s">
        <v>50</v>
      </c>
      <c r="M46" s="30"/>
      <c r="N46" s="228"/>
      <c r="O46" s="4"/>
    </row>
    <row r="47" spans="2:61" x14ac:dyDescent="0.2">
      <c r="B47" s="227"/>
      <c r="C47" s="31">
        <v>6</v>
      </c>
      <c r="D47" s="77">
        <f>IF(H$12="","",VLOOKUP(H$12,Data!$S$32:$X$37,3,FALSE))</f>
        <v>6.98</v>
      </c>
      <c r="E47" s="33">
        <v>14.03</v>
      </c>
      <c r="F47" s="33">
        <v>14.02</v>
      </c>
      <c r="G47" s="33"/>
      <c r="H47" s="38">
        <f>IF(OR(E47&lt;&gt;"",F47&lt;&gt;"",G47&lt;&gt;""),AVERAGE(E47:G47),"")</f>
        <v>14.024999999999999</v>
      </c>
      <c r="I47" s="35">
        <f>IF(OR(H47="",D47="",$J$35="",$J$37=""),"",H47*D47*$J$35*$J$37)</f>
        <v>98.804513896351082</v>
      </c>
      <c r="J47" s="35">
        <f>IF(C47="","",100)</f>
        <v>100</v>
      </c>
      <c r="K47" s="35">
        <f>IF(I47&lt;&gt;"",I47-J47,"")</f>
        <v>-1.1954861036489177</v>
      </c>
      <c r="L47" s="35">
        <f>IF(C47="","",2)</f>
        <v>2</v>
      </c>
      <c r="M47" s="36" t="str">
        <f>IF(K47="","",IF(ABS(K47)&lt;=L47/2,"PASS",IF(ABS(K47)&lt;=L47,"MARGINAL","FAIL")))</f>
        <v>MARGINAL</v>
      </c>
      <c r="N47" s="231"/>
      <c r="O47" s="4"/>
    </row>
    <row r="48" spans="2:61" x14ac:dyDescent="0.2">
      <c r="B48" s="227"/>
      <c r="C48" s="37">
        <v>10</v>
      </c>
      <c r="D48" s="77">
        <f>IF(H$12="","",VLOOKUP(H$12,Data!$S$32:$X$37,4,FALSE))</f>
        <v>6.32</v>
      </c>
      <c r="E48" s="33">
        <v>15.47</v>
      </c>
      <c r="F48" s="33">
        <v>15.46</v>
      </c>
      <c r="G48" s="33"/>
      <c r="H48" s="38">
        <f>IF(OR(E48&lt;&gt;"",F48&lt;&gt;"",G48&lt;&gt;""),AVERAGE(E48:G48),"")</f>
        <v>15.465</v>
      </c>
      <c r="I48" s="35">
        <f>IF(OR(H48="",D48="",$J$35="",$J$37=""),"",H48*D48*$J$35*$J$37)</f>
        <v>98.64736653042489</v>
      </c>
      <c r="J48" s="39">
        <f>IF(C48="","",100)</f>
        <v>100</v>
      </c>
      <c r="K48" s="39">
        <f>IF(I48&lt;&gt;"",I48-J48,"")</f>
        <v>-1.3526334695751103</v>
      </c>
      <c r="L48" s="39">
        <f>IF(C48="","",2)</f>
        <v>2</v>
      </c>
      <c r="M48" s="36" t="str">
        <f>IF(K48="","",IF(ABS(K48)&lt;=L48/2,"PASS",IF(ABS(K48)&lt;=L48,"MARGINAL","FAIL")))</f>
        <v>MARGINAL</v>
      </c>
      <c r="N48" s="231"/>
      <c r="O48" s="4"/>
    </row>
    <row r="49" spans="2:16" x14ac:dyDescent="0.2">
      <c r="B49" s="227"/>
      <c r="C49" s="37" t="s">
        <v>137</v>
      </c>
      <c r="D49" s="77">
        <f>IF(H$12="","",VLOOKUP(H$12,Data!$S$32:$X$37,6,FALSE))</f>
        <v>6.69</v>
      </c>
      <c r="E49" s="33">
        <v>14.63</v>
      </c>
      <c r="F49" s="33">
        <v>14.61</v>
      </c>
      <c r="G49" s="33"/>
      <c r="H49" s="38">
        <f>IF(OR(E49&lt;&gt;"",F49&lt;&gt;"",G49&lt;&gt;""),AVERAGE(E49:G49),"")</f>
        <v>14.620000000000001</v>
      </c>
      <c r="I49" s="35">
        <f>IF(OR(H49="",D49="",$J$35="",$J$37=""),"",H49*D49*$J$35*$J$37)</f>
        <v>98.717007944997206</v>
      </c>
      <c r="J49" s="39">
        <f>IF(C49="","",100)</f>
        <v>100</v>
      </c>
      <c r="K49" s="39">
        <f>IF(I49&lt;&gt;"",I49-J49,"")</f>
        <v>-1.2829920550027936</v>
      </c>
      <c r="L49" s="39">
        <f>IF(C49="","",2)</f>
        <v>2</v>
      </c>
      <c r="M49" s="36" t="str">
        <f>IF(K49="","",IF(ABS(K49)&lt;=L49/2,"PASS",IF(ABS(K49)&lt;=L49,"MARGINAL","FAIL")))</f>
        <v>MARGINAL</v>
      </c>
      <c r="N49" s="231"/>
      <c r="O49" s="4"/>
    </row>
    <row r="50" spans="2:16" x14ac:dyDescent="0.2">
      <c r="B50" s="227"/>
      <c r="C50" s="37">
        <v>15</v>
      </c>
      <c r="D50" s="77">
        <f>IF(H$12="","",VLOOKUP(H$12,Data!$S$32:$X$37,5,FALSE))</f>
        <v>6.08</v>
      </c>
      <c r="E50" s="33">
        <v>16.100000000000001</v>
      </c>
      <c r="F50" s="33">
        <v>16.079999999999998</v>
      </c>
      <c r="G50" s="33"/>
      <c r="H50" s="38">
        <f>IF(OR(E50&lt;&gt;"",F50&lt;&gt;"",G50&lt;&gt;""),AVERAGE(E50:G50),"")</f>
        <v>16.09</v>
      </c>
      <c r="I50" s="35">
        <f>IF(OR(H50="",D50="",$J$35="",$J$37=""),"",H50*D50*$J$35*$J$37)</f>
        <v>98.736588284746517</v>
      </c>
      <c r="J50" s="39">
        <f>IF(C50="","",100)</f>
        <v>100</v>
      </c>
      <c r="K50" s="39">
        <f>IF(I50&lt;&gt;"",I50-J50,"")</f>
        <v>-1.2634117152534827</v>
      </c>
      <c r="L50" s="39">
        <f>IF(C50="","",2)</f>
        <v>2</v>
      </c>
      <c r="M50" s="36" t="str">
        <f>IF(K50="","",IF(ABS(K50)&lt;=L50/2,"PASS",IF(ABS(K50)&lt;=L50,"MARGINAL","FAIL")))</f>
        <v>MARGINAL</v>
      </c>
      <c r="N50" s="231"/>
      <c r="O50" s="4"/>
    </row>
    <row r="51" spans="2:16" x14ac:dyDescent="0.2">
      <c r="B51" s="22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228"/>
      <c r="O51" s="4"/>
    </row>
    <row r="52" spans="2:16" x14ac:dyDescent="0.2">
      <c r="B52" s="227"/>
      <c r="C52" s="108" t="s">
        <v>323</v>
      </c>
      <c r="D52" s="7"/>
      <c r="E52" s="7"/>
      <c r="F52" s="161" t="s">
        <v>322</v>
      </c>
      <c r="G52" s="7"/>
      <c r="H52" s="7"/>
      <c r="I52" s="7"/>
      <c r="J52" s="7"/>
      <c r="K52" s="7"/>
      <c r="L52" s="7"/>
      <c r="M52" s="7"/>
      <c r="N52" s="228"/>
      <c r="O52" s="4"/>
    </row>
    <row r="53" spans="2:16" x14ac:dyDescent="0.2">
      <c r="B53" s="227"/>
      <c r="C53" s="27" t="s">
        <v>38</v>
      </c>
      <c r="D53" s="27" t="s">
        <v>55</v>
      </c>
      <c r="E53" s="27" t="s">
        <v>53</v>
      </c>
      <c r="F53" s="27" t="s">
        <v>57</v>
      </c>
      <c r="G53" s="27" t="s">
        <v>42</v>
      </c>
      <c r="H53" s="27" t="s">
        <v>56</v>
      </c>
      <c r="I53" s="27" t="s">
        <v>66</v>
      </c>
      <c r="J53" s="27" t="s">
        <v>51</v>
      </c>
      <c r="K53" s="27" t="s">
        <v>44</v>
      </c>
      <c r="L53" s="40"/>
      <c r="M53" s="41"/>
      <c r="N53" s="232"/>
      <c r="O53" s="4"/>
    </row>
    <row r="54" spans="2:16" x14ac:dyDescent="0.2">
      <c r="B54" s="227"/>
      <c r="C54" s="29" t="s">
        <v>45</v>
      </c>
      <c r="D54" s="29" t="s">
        <v>47</v>
      </c>
      <c r="E54" s="29"/>
      <c r="F54" s="29"/>
      <c r="G54" s="29" t="s">
        <v>47</v>
      </c>
      <c r="H54" s="42"/>
      <c r="I54" s="29"/>
      <c r="J54" s="29" t="s">
        <v>50</v>
      </c>
      <c r="K54" s="29" t="s">
        <v>50</v>
      </c>
      <c r="L54" s="40"/>
      <c r="M54" s="41"/>
      <c r="N54" s="232"/>
      <c r="O54" s="4"/>
    </row>
    <row r="55" spans="2:16" x14ac:dyDescent="0.2">
      <c r="B55" s="227"/>
      <c r="C55" s="43">
        <v>6</v>
      </c>
      <c r="D55" s="34">
        <f>IF(H47="","",H47)</f>
        <v>14.024999999999999</v>
      </c>
      <c r="E55" s="109">
        <v>9.2720000000000002</v>
      </c>
      <c r="F55" s="109">
        <v>9.1910000000000007</v>
      </c>
      <c r="G55" s="44">
        <f>IF(AND(E55="",F55=""),"",AVERAGE(E55:F55))</f>
        <v>9.2315000000000005</v>
      </c>
      <c r="H55" s="44">
        <f>IF(OR(D55="",G55=""),"",G55/D55)</f>
        <v>0.6582174688057042</v>
      </c>
      <c r="I55" s="32">
        <f>Data!B52</f>
        <v>0.65500000000000003</v>
      </c>
      <c r="J55" s="35">
        <f>IF(H55="","",100*(H55-I55)/I55)</f>
        <v>0.4912166115578887</v>
      </c>
      <c r="K55" s="35">
        <v>2</v>
      </c>
      <c r="L55" s="36" t="str">
        <f>IF(J55="","",IF(ABS(J55)&lt;=K55/2,"PASS",IF(ABS(J55)&lt;=K55,"MARGINAL","FAIL")))</f>
        <v>PASS</v>
      </c>
      <c r="M55" s="41"/>
      <c r="N55" s="232"/>
      <c r="O55" s="4"/>
    </row>
    <row r="56" spans="2:16" x14ac:dyDescent="0.2">
      <c r="B56" s="227"/>
      <c r="C56" s="45">
        <v>10</v>
      </c>
      <c r="D56" s="38">
        <f>IF(H48="","",H48)</f>
        <v>15.465</v>
      </c>
      <c r="E56" s="49">
        <v>10.83</v>
      </c>
      <c r="F56" s="49">
        <v>10.78</v>
      </c>
      <c r="G56" s="38">
        <f>IF(AND(E56="",F56=""),"",AVERAGE(E56:F56))</f>
        <v>10.805</v>
      </c>
      <c r="H56" s="44">
        <f>IF(OR(D56="",G56=""),"",G56/D56)</f>
        <v>0.69867442612350472</v>
      </c>
      <c r="I56" s="32">
        <f>Data!B53</f>
        <v>0.69599999999999995</v>
      </c>
      <c r="J56" s="35">
        <f>IF(H56="","",100*(H56-I56)/I56)</f>
        <v>0.38425662694034046</v>
      </c>
      <c r="K56" s="39">
        <v>2</v>
      </c>
      <c r="L56" s="36" t="str">
        <f>IF(J56="","",IF(ABS(J56)&lt;=K56/2,"PASS",IF(ABS(J56)&lt;=K56,"MARGINAL","FAIL")))</f>
        <v>PASS</v>
      </c>
      <c r="M56" s="41"/>
      <c r="N56" s="232"/>
      <c r="O56" s="4"/>
    </row>
    <row r="57" spans="2:16" x14ac:dyDescent="0.2">
      <c r="B57" s="227"/>
      <c r="C57" s="45">
        <v>15</v>
      </c>
      <c r="D57" s="38">
        <f>IF(H50="","",H50)</f>
        <v>16.09</v>
      </c>
      <c r="E57" s="49">
        <v>11.52</v>
      </c>
      <c r="F57" s="49">
        <v>11.44</v>
      </c>
      <c r="G57" s="38">
        <f>IF(AND(E57="",F57=""),"",AVERAGE(E57:F57))</f>
        <v>11.48</v>
      </c>
      <c r="H57" s="44">
        <f>IF(OR(D57="",G57=""),"",G57/D57)</f>
        <v>0.7134866376631448</v>
      </c>
      <c r="I57" s="32">
        <f>Data!B54</f>
        <v>0.71199999999999997</v>
      </c>
      <c r="J57" s="35">
        <f>IF(H57="","",100*(H57-I57)/I57)</f>
        <v>0.20879742459899295</v>
      </c>
      <c r="K57" s="39">
        <v>2</v>
      </c>
      <c r="L57" s="36" t="str">
        <f>IF(J57="","",IF(ABS(J57)&lt;=K57/2,"PASS",IF(ABS(J57)&lt;=K57,"MARGINAL","FAIL")))</f>
        <v>PASS</v>
      </c>
      <c r="M57" s="41"/>
      <c r="N57" s="232"/>
      <c r="O57" s="4"/>
    </row>
    <row r="58" spans="2:16" x14ac:dyDescent="0.2">
      <c r="B58" s="22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228"/>
      <c r="O58" s="4"/>
    </row>
    <row r="59" spans="2:16" x14ac:dyDescent="0.2">
      <c r="B59" s="227"/>
      <c r="C59" s="108" t="s">
        <v>324</v>
      </c>
      <c r="D59" s="7"/>
      <c r="E59" s="7"/>
      <c r="F59" s="161" t="str">
        <f>IF(H12="VIOAK_TB6","2dMLC_HD_OP.dcm","2dMLC_OP.dcm")</f>
        <v>2dMLC_OP.dcm</v>
      </c>
      <c r="G59" s="7"/>
      <c r="H59" s="7"/>
      <c r="I59" s="7"/>
      <c r="J59" s="7"/>
      <c r="K59" s="7"/>
      <c r="L59" s="7"/>
      <c r="M59" s="7"/>
      <c r="N59" s="228"/>
      <c r="O59" s="4"/>
    </row>
    <row r="60" spans="2:16" x14ac:dyDescent="0.2">
      <c r="B60" s="227"/>
      <c r="C60" s="27" t="s">
        <v>38</v>
      </c>
      <c r="D60" s="27" t="s">
        <v>142</v>
      </c>
      <c r="E60" s="27" t="s">
        <v>55</v>
      </c>
      <c r="F60" s="26" t="s">
        <v>145</v>
      </c>
      <c r="G60" s="26" t="s">
        <v>146</v>
      </c>
      <c r="H60" s="26" t="s">
        <v>42</v>
      </c>
      <c r="I60" s="26" t="s">
        <v>67</v>
      </c>
      <c r="J60" s="27" t="s">
        <v>66</v>
      </c>
      <c r="K60" s="27" t="s">
        <v>51</v>
      </c>
      <c r="L60" s="47" t="s">
        <v>44</v>
      </c>
      <c r="M60" s="48"/>
      <c r="N60" s="233"/>
      <c r="O60" s="4"/>
    </row>
    <row r="61" spans="2:16" x14ac:dyDescent="0.2">
      <c r="B61" s="227"/>
      <c r="C61" s="29" t="s">
        <v>45</v>
      </c>
      <c r="D61" s="29"/>
      <c r="E61" s="53" t="s">
        <v>47</v>
      </c>
      <c r="F61" s="53" t="s">
        <v>47</v>
      </c>
      <c r="G61" s="53" t="s">
        <v>47</v>
      </c>
      <c r="H61" s="53" t="s">
        <v>47</v>
      </c>
      <c r="I61" s="53"/>
      <c r="J61" s="53"/>
      <c r="K61" s="29" t="s">
        <v>50</v>
      </c>
      <c r="L61" s="53" t="s">
        <v>50</v>
      </c>
      <c r="M61" s="40"/>
      <c r="N61" s="232"/>
      <c r="O61" s="4"/>
    </row>
    <row r="62" spans="2:16" x14ac:dyDescent="0.2">
      <c r="B62" s="227"/>
      <c r="C62" s="32">
        <v>6</v>
      </c>
      <c r="D62" s="50" t="s">
        <v>147</v>
      </c>
      <c r="E62" s="84">
        <f>IF($H$47="","",$H$47)</f>
        <v>14.024999999999999</v>
      </c>
      <c r="F62" s="109">
        <v>1.0229999999999999</v>
      </c>
      <c r="G62" s="109">
        <v>1.022</v>
      </c>
      <c r="H62" s="44">
        <f>IF(AND(F62="",G62=""),"",AVERAGE(F62:G62))</f>
        <v>1.0225</v>
      </c>
      <c r="I62" s="56">
        <f>IF(OR(E62="",H62=""),"",H62/E62)</f>
        <v>7.2905525846702318E-2</v>
      </c>
      <c r="J62" s="56">
        <f>IF($H$12="VIOAK_TB6",Data!L52,Data!K52)</f>
        <v>7.46E-2</v>
      </c>
      <c r="K62" s="35">
        <f>IF(I62="","",100*(I62-J62)/J62)</f>
        <v>-2.2714130741255785</v>
      </c>
      <c r="L62" s="35">
        <v>2</v>
      </c>
      <c r="M62" s="36" t="str">
        <f>IF(K62="","",IF(ABS(K62)&lt;=L62/2,"PASS",IF(ABS(K62)&lt;=L62,"MARGINAL","FAIL")))</f>
        <v>FAIL</v>
      </c>
      <c r="N62" s="231"/>
      <c r="O62" s="4"/>
    </row>
    <row r="63" spans="2:16" x14ac:dyDescent="0.2">
      <c r="B63" s="227"/>
      <c r="C63" s="29">
        <v>6</v>
      </c>
      <c r="D63" s="53" t="s">
        <v>150</v>
      </c>
      <c r="E63" s="84">
        <f>IF($H$47="","",$H$47)</f>
        <v>14.024999999999999</v>
      </c>
      <c r="F63" s="46">
        <v>1.022</v>
      </c>
      <c r="G63" s="46">
        <v>1.0209999999999999</v>
      </c>
      <c r="H63" s="44">
        <f>IF(AND(F63="",G63=""),"",AVERAGE(F63:G63))</f>
        <v>1.0215000000000001</v>
      </c>
      <c r="I63" s="56">
        <f>IF(OR(E63="",H63=""),"",H63/E63)</f>
        <v>7.2834224598930492E-2</v>
      </c>
      <c r="J63" s="56">
        <f>IF($H$12="VIOAK_TB6",Data!L52,Data!K52)</f>
        <v>7.46E-2</v>
      </c>
      <c r="K63" s="35">
        <f>IF(I63="","",100*(I63-J63)/J63)</f>
        <v>-2.3669911542486703</v>
      </c>
      <c r="L63" s="39">
        <v>3</v>
      </c>
      <c r="M63" s="36" t="str">
        <f>IF(K63="","",IF(ABS(K63)&lt;=L63/2,"PASS",IF(ABS(K63)&lt;=L63,"MARGINAL","FAIL")))</f>
        <v>MARGINAL</v>
      </c>
      <c r="N63" s="231"/>
      <c r="O63" s="4"/>
      <c r="P63" s="94"/>
    </row>
    <row r="64" spans="2:16" x14ac:dyDescent="0.2">
      <c r="B64" s="227"/>
      <c r="C64" s="29">
        <v>6</v>
      </c>
      <c r="D64" s="53" t="s">
        <v>155</v>
      </c>
      <c r="E64" s="84">
        <f>IF($H$47="","",$H$47)</f>
        <v>14.024999999999999</v>
      </c>
      <c r="F64" s="49">
        <v>13.02</v>
      </c>
      <c r="G64" s="49">
        <v>13.03</v>
      </c>
      <c r="H64" s="34">
        <f>IF(AND(F64="",G64=""),"",AVERAGE(F64:G64))</f>
        <v>13.024999999999999</v>
      </c>
      <c r="I64" s="44">
        <f>IF(OR(E64="",H64=""),"",H64/E64)</f>
        <v>0.928698752228164</v>
      </c>
      <c r="J64" s="56">
        <f>IF($H$12="VIOAK_TB6",Data!L53,Data!K53)</f>
        <v>0.93</v>
      </c>
      <c r="K64" s="35">
        <f>IF(I64="","",100*(I64-J64)/J64)</f>
        <v>-0.13991911525118761</v>
      </c>
      <c r="L64" s="39">
        <v>2</v>
      </c>
      <c r="M64" s="36" t="str">
        <f>IF(K64="","",IF(ABS(K64)&lt;=L64/2,"PASS",IF(ABS(K64)&lt;=L64,"MARGINAL","FAIL")))</f>
        <v>PASS</v>
      </c>
      <c r="N64" s="231"/>
      <c r="O64" s="4"/>
      <c r="P64" s="94"/>
    </row>
    <row r="65" spans="2:16" x14ac:dyDescent="0.2">
      <c r="B65" s="227"/>
      <c r="C65" s="29">
        <v>6</v>
      </c>
      <c r="D65" s="53" t="s">
        <v>144</v>
      </c>
      <c r="E65" s="84">
        <f>IF($H$47="","",$H$47)</f>
        <v>14.024999999999999</v>
      </c>
      <c r="F65" s="46">
        <v>8.7579999999999991</v>
      </c>
      <c r="G65" s="46">
        <v>8.7579999999999991</v>
      </c>
      <c r="H65" s="44">
        <f>IF(AND(F65="",G65=""),"",AVERAGE(F65:G65))</f>
        <v>8.7579999999999991</v>
      </c>
      <c r="I65" s="44">
        <f>IF(OR(E65="",H65=""),"",H65/E65)</f>
        <v>0.6244563279857398</v>
      </c>
      <c r="J65" s="56">
        <f>IF($H$12="VIOAK_TB6",Data!L54,Data!K54)</f>
        <v>0.626</v>
      </c>
      <c r="K65" s="35">
        <f>IF(I65="","",100*(I65-J65)/J65)</f>
        <v>-0.24659297352399362</v>
      </c>
      <c r="L65" s="39">
        <v>2</v>
      </c>
      <c r="M65" s="36" t="str">
        <f>IF(K65="","",IF(ABS(K65)&lt;=L65/2,"PASS",IF(ABS(K65)&lt;=L65,"MARGINAL","FAIL")))</f>
        <v>PASS</v>
      </c>
      <c r="N65" s="231"/>
      <c r="O65" s="4"/>
      <c r="P65" s="94"/>
    </row>
    <row r="66" spans="2:16" x14ac:dyDescent="0.2">
      <c r="B66" s="227"/>
      <c r="C66" s="29">
        <v>6</v>
      </c>
      <c r="D66" s="53" t="s">
        <v>325</v>
      </c>
      <c r="E66" s="84">
        <f>IF($H$47="","",$H$47)</f>
        <v>14.024999999999999</v>
      </c>
      <c r="F66" s="46">
        <v>3.2370000000000001</v>
      </c>
      <c r="G66" s="46">
        <v>3.2360000000000002</v>
      </c>
      <c r="H66" s="44">
        <f>IF(AND(F66="",G66=""),"",AVERAGE(F66:G66))</f>
        <v>3.2365000000000004</v>
      </c>
      <c r="I66" s="44">
        <f>IF(OR(E66="",H66=""),"",H66/E66)</f>
        <v>0.2307664884135473</v>
      </c>
      <c r="J66" s="56">
        <f>IF($H$12="VIOAK_TB6",Data!L55,Data!K55)</f>
        <v>0.23400000000000001</v>
      </c>
      <c r="K66" s="35">
        <f>IF(I66="","",100*(I66-J66)/J66)</f>
        <v>-1.3818425583131257</v>
      </c>
      <c r="L66" s="39">
        <v>2</v>
      </c>
      <c r="M66" s="36" t="str">
        <f>IF(K66="","",IF(ABS(K66)&lt;=L66/2,"PASS",IF(ABS(K66)&lt;=L66,"MARGINAL","FAIL")))</f>
        <v>MARGINAL</v>
      </c>
      <c r="N66" s="231"/>
      <c r="O66" s="4"/>
      <c r="P66" s="94"/>
    </row>
    <row r="67" spans="2:16" x14ac:dyDescent="0.2">
      <c r="B67" s="227"/>
      <c r="C67" s="90" t="s">
        <v>151</v>
      </c>
      <c r="D67" s="83"/>
      <c r="E67" s="87"/>
      <c r="F67" s="81"/>
      <c r="G67" s="81"/>
      <c r="H67" s="82"/>
      <c r="I67" s="55"/>
      <c r="J67" s="55"/>
      <c r="K67" s="54"/>
      <c r="L67" s="54"/>
      <c r="M67" s="52"/>
      <c r="N67" s="231"/>
      <c r="O67" s="4"/>
      <c r="P67" s="94"/>
    </row>
    <row r="68" spans="2:16" x14ac:dyDescent="0.2">
      <c r="B68" s="227"/>
      <c r="C68" s="89"/>
      <c r="D68" s="7"/>
      <c r="E68" s="7"/>
      <c r="F68" s="7"/>
      <c r="G68" s="7"/>
      <c r="H68" s="7"/>
      <c r="I68" s="7"/>
      <c r="J68" s="7"/>
      <c r="K68" s="7"/>
      <c r="L68" s="7"/>
      <c r="M68" s="7"/>
      <c r="N68" s="228"/>
      <c r="O68" s="4"/>
      <c r="P68" s="94"/>
    </row>
    <row r="69" spans="2:16" x14ac:dyDescent="0.2">
      <c r="B69" s="227"/>
      <c r="C69" s="108" t="s">
        <v>326</v>
      </c>
      <c r="D69" s="7"/>
      <c r="E69" s="7"/>
      <c r="F69" s="161" t="str">
        <f>IF(H12="VIOAK_TB6","3VMAT_HD.dcm","3VMAT_H&amp;N.dcm")</f>
        <v>3VMAT_H&amp;N.dcm</v>
      </c>
      <c r="G69" s="7"/>
      <c r="H69" s="161" t="s">
        <v>474</v>
      </c>
      <c r="I69" s="7"/>
      <c r="J69" s="7"/>
      <c r="K69" s="7"/>
      <c r="L69" s="7"/>
      <c r="M69" s="7"/>
      <c r="N69" s="228"/>
      <c r="O69" s="4"/>
    </row>
    <row r="70" spans="2:16" ht="15" customHeight="1" x14ac:dyDescent="0.2">
      <c r="B70" s="227"/>
      <c r="C70" s="27" t="s">
        <v>38</v>
      </c>
      <c r="D70" s="27" t="s">
        <v>142</v>
      </c>
      <c r="E70" s="27" t="s">
        <v>55</v>
      </c>
      <c r="F70" s="26" t="s">
        <v>145</v>
      </c>
      <c r="G70" s="26" t="s">
        <v>146</v>
      </c>
      <c r="H70" s="26" t="s">
        <v>42</v>
      </c>
      <c r="I70" s="26" t="s">
        <v>67</v>
      </c>
      <c r="J70" s="27" t="s">
        <v>66</v>
      </c>
      <c r="K70" s="27" t="s">
        <v>51</v>
      </c>
      <c r="L70" s="47" t="s">
        <v>44</v>
      </c>
      <c r="M70" s="48"/>
      <c r="N70" s="233"/>
      <c r="O70" s="4"/>
    </row>
    <row r="71" spans="2:16" x14ac:dyDescent="0.2">
      <c r="B71" s="227"/>
      <c r="C71" s="29" t="s">
        <v>45</v>
      </c>
      <c r="D71" s="29"/>
      <c r="E71" s="53" t="s">
        <v>47</v>
      </c>
      <c r="F71" s="53" t="s">
        <v>47</v>
      </c>
      <c r="G71" s="53" t="s">
        <v>47</v>
      </c>
      <c r="H71" s="53" t="s">
        <v>47</v>
      </c>
      <c r="I71" s="53"/>
      <c r="J71" s="53"/>
      <c r="K71" s="29" t="s">
        <v>50</v>
      </c>
      <c r="L71" s="53" t="s">
        <v>50</v>
      </c>
      <c r="M71" s="40"/>
      <c r="N71" s="232"/>
      <c r="O71" s="4"/>
    </row>
    <row r="72" spans="2:16" ht="17.25" customHeight="1" x14ac:dyDescent="0.2">
      <c r="B72" s="227"/>
      <c r="C72" s="32">
        <v>6</v>
      </c>
      <c r="D72" s="50" t="s">
        <v>220</v>
      </c>
      <c r="E72" s="84">
        <f>IF($H$47="","",$H$47)</f>
        <v>14.024999999999999</v>
      </c>
      <c r="F72" s="33">
        <v>20.83</v>
      </c>
      <c r="G72" s="33">
        <v>21.23</v>
      </c>
      <c r="H72" s="34">
        <f>IF(AND(F72="",G72=""),"",AVERAGE(F72:G72))</f>
        <v>21.03</v>
      </c>
      <c r="I72" s="44">
        <f>IF(OR(E72="",H72=""),"",H72/E72)</f>
        <v>1.4994652406417115</v>
      </c>
      <c r="J72" s="56">
        <f>IF($H$12="VIOAK_TB6",Data!L56,Data!K56)</f>
        <v>1.498</v>
      </c>
      <c r="K72" s="35">
        <f>IF(I72="","",100*(I72-J72)/J72)</f>
        <v>9.7813126950033108E-2</v>
      </c>
      <c r="L72" s="35">
        <v>3</v>
      </c>
      <c r="M72" s="36" t="str">
        <f>IF(K72="","",IF(ABS(K72)&lt;=L72/2,"PASS",IF(ABS(K72)&lt;=L72,"MARGINAL","FAIL")))</f>
        <v>PASS</v>
      </c>
      <c r="N72" s="231"/>
      <c r="O72" s="4"/>
    </row>
    <row r="73" spans="2:16" x14ac:dyDescent="0.2">
      <c r="B73" s="227"/>
      <c r="C73" s="41"/>
      <c r="D73" s="83"/>
      <c r="E73" s="87"/>
      <c r="F73" s="81"/>
      <c r="G73" s="81"/>
      <c r="H73" s="82"/>
      <c r="I73" s="55"/>
      <c r="J73" s="88"/>
      <c r="K73" s="54"/>
      <c r="L73" s="54"/>
      <c r="M73" s="52"/>
      <c r="N73" s="231"/>
      <c r="O73" s="4"/>
    </row>
    <row r="74" spans="2:16" x14ac:dyDescent="0.2">
      <c r="B74" s="227"/>
      <c r="C74" s="108" t="s">
        <v>328</v>
      </c>
      <c r="D74" s="7"/>
      <c r="E74" s="7"/>
      <c r="F74" s="161" t="str">
        <f>IF(H12="VIOAK_TB6","4dMLC_HDErr.dcm","4dMLC_Error.dcm")</f>
        <v>4dMLC_Error.dcm</v>
      </c>
      <c r="G74" s="7"/>
      <c r="H74" s="7"/>
      <c r="I74" s="7"/>
      <c r="J74" s="7"/>
      <c r="K74" s="7"/>
      <c r="L74" s="7"/>
      <c r="M74" s="7"/>
      <c r="N74" s="228"/>
      <c r="O74" s="4"/>
    </row>
    <row r="75" spans="2:16" x14ac:dyDescent="0.2">
      <c r="B75" s="227"/>
      <c r="C75" s="27" t="s">
        <v>38</v>
      </c>
      <c r="D75" s="27" t="s">
        <v>142</v>
      </c>
      <c r="E75" s="26" t="s">
        <v>153</v>
      </c>
      <c r="F75" s="48"/>
      <c r="G75" s="83"/>
      <c r="H75" s="83"/>
      <c r="I75" s="83"/>
      <c r="J75" s="83"/>
      <c r="K75" s="83"/>
      <c r="L75" s="83"/>
      <c r="M75" s="83"/>
      <c r="N75" s="233"/>
      <c r="O75" s="4"/>
    </row>
    <row r="76" spans="2:16" x14ac:dyDescent="0.2">
      <c r="B76" s="227"/>
      <c r="C76" s="29" t="s">
        <v>45</v>
      </c>
      <c r="D76" s="29"/>
      <c r="E76" s="53"/>
      <c r="F76" s="40"/>
      <c r="G76" s="41"/>
      <c r="H76" s="41"/>
      <c r="I76" s="41"/>
      <c r="J76" s="41"/>
      <c r="K76" s="41"/>
      <c r="L76" s="41"/>
      <c r="M76" s="41"/>
      <c r="N76" s="232"/>
      <c r="O76" s="4"/>
    </row>
    <row r="77" spans="2:16" x14ac:dyDescent="0.2">
      <c r="B77" s="227"/>
      <c r="C77" s="32">
        <v>6</v>
      </c>
      <c r="D77" s="50" t="s">
        <v>152</v>
      </c>
      <c r="E77" s="33" t="s">
        <v>22</v>
      </c>
      <c r="F77" s="41"/>
      <c r="G77" s="52"/>
      <c r="H77" s="52"/>
      <c r="I77" s="52"/>
      <c r="J77" s="52"/>
      <c r="K77" s="52"/>
      <c r="L77" s="52"/>
      <c r="M77" s="52"/>
      <c r="N77" s="231"/>
      <c r="O77" s="4"/>
    </row>
    <row r="78" spans="2:16" x14ac:dyDescent="0.2">
      <c r="B78" s="227"/>
      <c r="C78" s="90" t="s">
        <v>154</v>
      </c>
      <c r="D78" s="83"/>
      <c r="E78" s="87"/>
      <c r="F78" s="81"/>
      <c r="G78" s="81"/>
      <c r="H78" s="82"/>
      <c r="I78" s="55"/>
      <c r="J78" s="88"/>
      <c r="K78" s="54"/>
      <c r="L78" s="54"/>
      <c r="M78" s="52"/>
      <c r="N78" s="231"/>
      <c r="O78" s="4"/>
    </row>
    <row r="79" spans="2:16" x14ac:dyDescent="0.2">
      <c r="B79" s="227"/>
      <c r="C79" s="52"/>
      <c r="D79" s="52"/>
      <c r="E79" s="52"/>
      <c r="F79" s="52"/>
      <c r="G79" s="52"/>
      <c r="H79" s="52"/>
      <c r="I79" s="52"/>
      <c r="J79" s="52"/>
      <c r="K79" s="52"/>
      <c r="L79" s="52"/>
      <c r="M79" s="52"/>
      <c r="N79" s="231"/>
      <c r="O79" s="4"/>
    </row>
    <row r="80" spans="2:16" x14ac:dyDescent="0.2">
      <c r="B80" s="227"/>
      <c r="C80" s="79" t="s">
        <v>386</v>
      </c>
      <c r="D80" s="7"/>
      <c r="E80" s="7"/>
      <c r="F80" s="7"/>
      <c r="G80" s="7"/>
      <c r="H80" s="7"/>
      <c r="I80" s="7"/>
      <c r="J80" s="7"/>
      <c r="K80" s="7"/>
      <c r="L80" s="7"/>
      <c r="M80" s="7"/>
      <c r="N80" s="228"/>
      <c r="O80" s="4"/>
    </row>
    <row r="81" spans="2:20" x14ac:dyDescent="0.2">
      <c r="B81" s="227"/>
      <c r="C81" s="79"/>
      <c r="D81" s="7"/>
      <c r="E81" s="7"/>
      <c r="F81" s="7"/>
      <c r="G81" s="7"/>
      <c r="H81" s="7"/>
      <c r="I81" s="7"/>
      <c r="J81" s="7"/>
      <c r="K81" s="7"/>
      <c r="L81" s="7"/>
      <c r="M81" s="7"/>
      <c r="N81" s="228"/>
      <c r="O81" s="4"/>
    </row>
    <row r="82" spans="2:20" x14ac:dyDescent="0.2">
      <c r="B82" s="227"/>
      <c r="C82" s="108" t="s">
        <v>327</v>
      </c>
      <c r="D82" s="7"/>
      <c r="E82" s="7"/>
      <c r="F82" s="161" t="s">
        <v>329</v>
      </c>
      <c r="G82" s="1"/>
      <c r="H82" s="7"/>
      <c r="I82" s="7"/>
      <c r="J82" s="7"/>
      <c r="K82" s="7"/>
      <c r="L82" s="7"/>
      <c r="M82" s="7"/>
      <c r="N82" s="228"/>
      <c r="O82" s="4"/>
      <c r="Q82" s="111"/>
    </row>
    <row r="83" spans="2:20" x14ac:dyDescent="0.2">
      <c r="B83" s="227"/>
      <c r="C83" s="27" t="s">
        <v>38</v>
      </c>
      <c r="D83" s="27" t="s">
        <v>124</v>
      </c>
      <c r="E83" s="170" t="s">
        <v>358</v>
      </c>
      <c r="F83" s="27" t="s">
        <v>61</v>
      </c>
      <c r="G83" s="27" t="s">
        <v>62</v>
      </c>
      <c r="H83" s="27" t="s">
        <v>42</v>
      </c>
      <c r="I83" s="27" t="s">
        <v>63</v>
      </c>
      <c r="J83" s="27" t="s">
        <v>66</v>
      </c>
      <c r="K83" s="27" t="s">
        <v>51</v>
      </c>
      <c r="L83" s="27" t="s">
        <v>44</v>
      </c>
      <c r="M83" s="28"/>
      <c r="N83" s="228"/>
      <c r="O83" s="4"/>
    </row>
    <row r="84" spans="2:20" x14ac:dyDescent="0.2">
      <c r="B84" s="227"/>
      <c r="C84" s="29" t="s">
        <v>45</v>
      </c>
      <c r="D84" s="29" t="s">
        <v>47</v>
      </c>
      <c r="E84" s="29" t="s">
        <v>58</v>
      </c>
      <c r="F84" s="29"/>
      <c r="G84" s="29"/>
      <c r="H84" s="29" t="s">
        <v>47</v>
      </c>
      <c r="I84" s="29"/>
      <c r="J84" s="29"/>
      <c r="K84" s="29" t="s">
        <v>50</v>
      </c>
      <c r="L84" s="29" t="s">
        <v>50</v>
      </c>
      <c r="M84" s="30"/>
      <c r="N84" s="228"/>
      <c r="O84" s="4"/>
      <c r="T84" s="169"/>
    </row>
    <row r="85" spans="2:20" ht="15" x14ac:dyDescent="0.25">
      <c r="B85" s="227"/>
      <c r="C85" s="29">
        <v>6</v>
      </c>
      <c r="D85" s="34">
        <f>IF(H47="","",H47)</f>
        <v>14.024999999999999</v>
      </c>
      <c r="E85" s="100">
        <v>2.5</v>
      </c>
      <c r="F85" s="33">
        <v>18.02</v>
      </c>
      <c r="G85" s="33">
        <v>17.97</v>
      </c>
      <c r="H85" s="34">
        <f>IF(AND(F85="",G85=""),"",AVERAGE(F85:G85))</f>
        <v>17.994999999999997</v>
      </c>
      <c r="I85" s="44">
        <f>IF(OR(D85="",H85=""),"",D85/H85)</f>
        <v>0.77938316198944158</v>
      </c>
      <c r="J85" s="44">
        <f>Data!H52</f>
        <v>0.78400000000000003</v>
      </c>
      <c r="K85" s="35">
        <f>IF(I85="","",100*(I85-J85)/J85)</f>
        <v>-0.58888239930592534</v>
      </c>
      <c r="L85" s="35">
        <v>2</v>
      </c>
      <c r="M85" s="36" t="str">
        <f>IF(K85="","",IF(ABS(K85)&lt;=L85/2,"PASS",IF(ABS(K85)&lt;=L85,"MARGINAL","FAIL")))</f>
        <v>PASS</v>
      </c>
      <c r="N85" s="231"/>
      <c r="O85" s="4"/>
      <c r="T85" s="169"/>
    </row>
    <row r="86" spans="2:20" ht="15" x14ac:dyDescent="0.25">
      <c r="B86" s="227"/>
      <c r="C86" s="29">
        <v>10</v>
      </c>
      <c r="D86" s="34">
        <f>IF(H48="","",H48)</f>
        <v>15.465</v>
      </c>
      <c r="E86" s="100">
        <v>2.5</v>
      </c>
      <c r="F86" s="49">
        <v>18.36</v>
      </c>
      <c r="G86" s="49">
        <v>18.34</v>
      </c>
      <c r="H86" s="38">
        <f>IF(AND(F86="",G86=""),"",AVERAGE(F86:G86))</f>
        <v>18.350000000000001</v>
      </c>
      <c r="I86" s="44">
        <f>IF(OR(D86="",H86=""),"",D86/H86)</f>
        <v>0.84277929155313347</v>
      </c>
      <c r="J86" s="44">
        <f>Data!H53</f>
        <v>0.84099999999999997</v>
      </c>
      <c r="K86" s="35">
        <f>IF(I86="","",100*(I86-J86)/J86)</f>
        <v>0.21156855566391197</v>
      </c>
      <c r="L86" s="39">
        <v>2</v>
      </c>
      <c r="M86" s="36" t="str">
        <f>IF(K86="","",IF(ABS(K86)&lt;=L86/2,"PASS",IF(ABS(K86)&lt;=L86,"MARGINAL","FAIL")))</f>
        <v>PASS</v>
      </c>
      <c r="N86" s="231"/>
      <c r="O86" s="4"/>
      <c r="T86" s="169"/>
    </row>
    <row r="87" spans="2:20" ht="15" x14ac:dyDescent="0.25">
      <c r="B87" s="227"/>
      <c r="C87" s="53" t="s">
        <v>137</v>
      </c>
      <c r="D87" s="34">
        <f>IF(H49="","",H49)</f>
        <v>14.620000000000001</v>
      </c>
      <c r="E87" s="100">
        <v>2.5</v>
      </c>
      <c r="F87" s="49">
        <v>18.04</v>
      </c>
      <c r="G87" s="49">
        <v>18.04</v>
      </c>
      <c r="H87" s="38">
        <f>IF(AND(F87="",G87=""),"",AVERAGE(F87:G87))</f>
        <v>18.04</v>
      </c>
      <c r="I87" s="44">
        <f>IF(OR(D87="",H87=""),"",D87/H87)</f>
        <v>0.81042128603104224</v>
      </c>
      <c r="J87" s="44">
        <f>Data!H54</f>
        <v>0.80800000000000005</v>
      </c>
      <c r="K87" s="35">
        <f>IF(I87="","",100*(I87-J87)/J87)</f>
        <v>0.2996641127527464</v>
      </c>
      <c r="L87" s="39">
        <v>2</v>
      </c>
      <c r="M87" s="36" t="str">
        <f>IF(K87="","",IF(ABS(K87)&lt;=L87/2,"PASS",IF(ABS(K87)&lt;=L87,"MARGINAL","FAIL")))</f>
        <v>PASS</v>
      </c>
      <c r="N87" s="231"/>
      <c r="O87" s="4"/>
      <c r="T87" s="169"/>
    </row>
    <row r="88" spans="2:20" ht="15" x14ac:dyDescent="0.25">
      <c r="B88" s="227"/>
      <c r="C88" s="29">
        <v>15</v>
      </c>
      <c r="D88" s="34">
        <f>IF(H50="","",H50)</f>
        <v>16.09</v>
      </c>
      <c r="E88" s="100">
        <v>2.5</v>
      </c>
      <c r="F88" s="49">
        <v>18.13</v>
      </c>
      <c r="G88" s="49">
        <v>18.12</v>
      </c>
      <c r="H88" s="38">
        <f>IF(AND(F88="",G88=""),"",AVERAGE(F88:G88))</f>
        <v>18.125</v>
      </c>
      <c r="I88" s="44">
        <f>IF(OR(D88="",H88=""),"",D88/H88)</f>
        <v>0.88772413793103444</v>
      </c>
      <c r="J88" s="44">
        <f>Data!H55</f>
        <v>0.879</v>
      </c>
      <c r="K88" s="35">
        <f>IF(I88="","",100*(I88-J88)/J88)</f>
        <v>0.99250715938958323</v>
      </c>
      <c r="L88" s="39">
        <v>2</v>
      </c>
      <c r="M88" s="36" t="str">
        <f>IF(K88="","",IF(ABS(K88)&lt;=L88/2,"PASS",IF(ABS(K88)&lt;=L88,"MARGINAL","FAIL")))</f>
        <v>PASS</v>
      </c>
      <c r="N88" s="231"/>
      <c r="O88" s="4"/>
    </row>
    <row r="89" spans="2:20" x14ac:dyDescent="0.2">
      <c r="B89" s="22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228"/>
      <c r="O89" s="4"/>
    </row>
    <row r="90" spans="2:20" ht="15" x14ac:dyDescent="0.2">
      <c r="B90" s="227"/>
      <c r="C90" s="108" t="s">
        <v>385</v>
      </c>
      <c r="D90" s="7"/>
      <c r="E90" s="7"/>
      <c r="F90" s="161" t="s">
        <v>330</v>
      </c>
      <c r="G90" s="1"/>
      <c r="H90" s="234" t="s">
        <v>359</v>
      </c>
      <c r="I90" s="7"/>
      <c r="J90" s="7"/>
      <c r="K90" s="7"/>
      <c r="L90" s="7"/>
      <c r="M90" s="7"/>
      <c r="N90" s="228"/>
      <c r="O90" s="4"/>
    </row>
    <row r="91" spans="2:20" x14ac:dyDescent="0.2">
      <c r="B91" s="227"/>
      <c r="C91" s="79" t="s">
        <v>456</v>
      </c>
      <c r="D91" s="79"/>
      <c r="E91" s="79"/>
      <c r="F91" s="79"/>
      <c r="G91" s="79"/>
      <c r="H91" s="79"/>
      <c r="I91" s="79"/>
      <c r="J91" s="79"/>
      <c r="K91" s="79"/>
      <c r="L91" s="79"/>
      <c r="M91" s="79"/>
      <c r="N91" s="235"/>
      <c r="O91" s="4"/>
    </row>
    <row r="92" spans="2:20" x14ac:dyDescent="0.2">
      <c r="B92" s="227"/>
      <c r="C92" s="79" t="s">
        <v>254</v>
      </c>
      <c r="D92" s="79"/>
      <c r="E92" s="79"/>
      <c r="F92" s="79"/>
      <c r="G92" s="79"/>
      <c r="H92" s="79"/>
      <c r="I92" s="79"/>
      <c r="J92" s="79"/>
      <c r="K92" s="79"/>
      <c r="L92" s="79"/>
      <c r="M92" s="79"/>
      <c r="N92" s="235"/>
      <c r="O92" s="4"/>
    </row>
    <row r="93" spans="2:20" x14ac:dyDescent="0.2">
      <c r="B93" s="227"/>
      <c r="C93" s="79" t="s">
        <v>457</v>
      </c>
      <c r="D93" s="79"/>
      <c r="E93" s="79"/>
      <c r="F93" s="79"/>
      <c r="G93" s="79"/>
      <c r="H93" s="79"/>
      <c r="I93" s="79"/>
      <c r="J93" s="79"/>
      <c r="K93" s="79"/>
      <c r="L93" s="79"/>
      <c r="M93" s="79"/>
      <c r="N93" s="235"/>
      <c r="O93" s="4"/>
    </row>
    <row r="94" spans="2:20" x14ac:dyDescent="0.2">
      <c r="B94" s="227"/>
      <c r="C94" s="79" t="s">
        <v>454</v>
      </c>
      <c r="D94" s="79"/>
      <c r="E94" s="79"/>
      <c r="F94" s="79"/>
      <c r="G94" s="79"/>
      <c r="H94" s="79"/>
      <c r="I94" s="79"/>
      <c r="J94" s="79"/>
      <c r="K94" s="79"/>
      <c r="L94" s="79"/>
      <c r="M94" s="79"/>
      <c r="N94" s="235"/>
      <c r="O94" s="4"/>
    </row>
    <row r="95" spans="2:20" x14ac:dyDescent="0.2">
      <c r="B95" s="227"/>
      <c r="C95" s="79"/>
      <c r="D95" s="79"/>
      <c r="E95" s="79"/>
      <c r="F95" s="79"/>
      <c r="G95" s="79"/>
      <c r="H95" s="79"/>
      <c r="I95" s="79"/>
      <c r="J95" s="79"/>
      <c r="K95" s="79"/>
      <c r="L95" s="79"/>
      <c r="M95" s="79"/>
      <c r="N95" s="235"/>
      <c r="O95" s="4"/>
    </row>
    <row r="96" spans="2:20" ht="14.25" x14ac:dyDescent="0.25">
      <c r="B96" s="227"/>
      <c r="C96" s="47" t="s">
        <v>209</v>
      </c>
      <c r="D96" s="47" t="s">
        <v>213</v>
      </c>
      <c r="E96" s="47" t="s">
        <v>216</v>
      </c>
      <c r="F96" s="47" t="s">
        <v>239</v>
      </c>
      <c r="G96" s="47" t="s">
        <v>253</v>
      </c>
      <c r="H96" s="47" t="s">
        <v>313</v>
      </c>
      <c r="I96" s="47" t="s">
        <v>66</v>
      </c>
      <c r="J96" s="47" t="s">
        <v>51</v>
      </c>
      <c r="K96" s="47" t="s">
        <v>44</v>
      </c>
      <c r="L96" s="125"/>
      <c r="M96" s="107"/>
      <c r="N96" s="236"/>
      <c r="O96" s="4"/>
    </row>
    <row r="97" spans="2:20" x14ac:dyDescent="0.2">
      <c r="B97" s="227"/>
      <c r="C97" s="124" t="s">
        <v>210</v>
      </c>
      <c r="D97" s="58"/>
      <c r="E97" s="58"/>
      <c r="F97" s="58"/>
      <c r="G97" s="58" t="s">
        <v>47</v>
      </c>
      <c r="H97" s="58" t="s">
        <v>47</v>
      </c>
      <c r="I97" s="58" t="s">
        <v>47</v>
      </c>
      <c r="J97" s="58" t="s">
        <v>50</v>
      </c>
      <c r="K97" s="58" t="s">
        <v>50</v>
      </c>
      <c r="L97" s="126"/>
      <c r="M97" s="83"/>
      <c r="N97" s="233"/>
      <c r="O97" s="4"/>
    </row>
    <row r="98" spans="2:20" x14ac:dyDescent="0.2">
      <c r="B98" s="227"/>
      <c r="C98" s="31" t="s">
        <v>229</v>
      </c>
      <c r="D98" s="31" t="s">
        <v>214</v>
      </c>
      <c r="E98" s="127" t="s">
        <v>215</v>
      </c>
      <c r="F98" s="127" t="s">
        <v>450</v>
      </c>
      <c r="G98" s="109">
        <v>0.23599999999999999</v>
      </c>
      <c r="H98" s="23">
        <f>IF(OR($J$35="",$J$37="",G98=""),"",G98*$J$35*$J$37)</f>
        <v>0.2381938237545404</v>
      </c>
      <c r="I98" s="138">
        <f>Data!S52</f>
        <v>0.23</v>
      </c>
      <c r="J98" s="127">
        <f>IF(H98="","",100*ABS(H98-I98)/I98)</f>
        <v>3.5625320671914742</v>
      </c>
      <c r="K98" s="127">
        <v>5</v>
      </c>
      <c r="L98" s="36" t="str">
        <f>IF(J98="","",IF(ABS(J98)&lt;=K98/2,"PASS",IF(ABS(J98)&lt;=K98,"MARGINAL","FAIL")))</f>
        <v>MARGINAL</v>
      </c>
      <c r="M98" s="139"/>
      <c r="N98" s="237"/>
      <c r="O98" s="4"/>
    </row>
    <row r="99" spans="2:20" x14ac:dyDescent="0.2">
      <c r="B99" s="227"/>
      <c r="C99" s="31" t="s">
        <v>211</v>
      </c>
      <c r="D99" s="128" t="s">
        <v>214</v>
      </c>
      <c r="E99" s="127" t="s">
        <v>215</v>
      </c>
      <c r="F99" s="127" t="s">
        <v>451</v>
      </c>
      <c r="G99" s="109">
        <v>1.103</v>
      </c>
      <c r="H99" s="23">
        <f>IF(OR($J$35="",$J$37="",G99=""),"",G99*$J$35*$J$37)</f>
        <v>1.1132533372934663</v>
      </c>
      <c r="I99" s="138">
        <f>Data!S53</f>
        <v>1.06</v>
      </c>
      <c r="J99" s="127">
        <f>IF(H99="","",100*ABS(H99-I99)/I99)</f>
        <v>5.023899744666628</v>
      </c>
      <c r="K99" s="127">
        <v>5</v>
      </c>
      <c r="L99" s="36" t="str">
        <f>IF(J99="","",IF(ABS(J99)&lt;=K99/2,"PASS",IF(ABS(J99)&lt;=K99,"MARGINAL","FAIL")))</f>
        <v>FAIL</v>
      </c>
      <c r="M99" s="139"/>
      <c r="N99" s="237"/>
      <c r="O99" s="4"/>
    </row>
    <row r="100" spans="2:20" x14ac:dyDescent="0.2">
      <c r="B100" s="227"/>
      <c r="C100" s="31" t="s">
        <v>212</v>
      </c>
      <c r="D100" s="128" t="s">
        <v>215</v>
      </c>
      <c r="E100" s="127" t="s">
        <v>214</v>
      </c>
      <c r="F100" s="127" t="s">
        <v>452</v>
      </c>
      <c r="G100" s="109">
        <v>0.28899999999999998</v>
      </c>
      <c r="H100" s="23">
        <f>IF(OR($J$35="",$J$37="",G100=""),"",G100*$J$35*$J$37)</f>
        <v>0.29168650451297534</v>
      </c>
      <c r="I100" s="138">
        <f>Data!S54</f>
        <v>0.28000000000000003</v>
      </c>
      <c r="J100" s="127">
        <f>IF(H100="","",100*ABS(H100-I100)/I100)</f>
        <v>4.1737516117768978</v>
      </c>
      <c r="K100" s="127">
        <v>5</v>
      </c>
      <c r="L100" s="36" t="str">
        <f>IF(J100="","",IF(ABS(J100)&lt;=K100/2,"PASS",IF(ABS(J100)&lt;=K100,"MARGINAL","FAIL")))</f>
        <v>MARGINAL</v>
      </c>
      <c r="M100" s="139"/>
      <c r="N100" s="237"/>
      <c r="O100" s="4"/>
    </row>
    <row r="101" spans="2:20" x14ac:dyDescent="0.2">
      <c r="B101" s="230"/>
      <c r="C101" s="31" t="s">
        <v>449</v>
      </c>
      <c r="D101" s="128" t="s">
        <v>215</v>
      </c>
      <c r="E101" s="127" t="s">
        <v>214</v>
      </c>
      <c r="F101" s="127" t="s">
        <v>453</v>
      </c>
      <c r="G101" s="109">
        <v>2.4430000000000001</v>
      </c>
      <c r="H101" s="23">
        <f>IF(OR($J$35="",$J$37="",G101=""),"",G101*$J$35*$J$37)</f>
        <v>2.4657097942048396</v>
      </c>
      <c r="I101" s="138">
        <f>Data!S55</f>
        <v>2.35</v>
      </c>
      <c r="J101" s="127">
        <f>IF(H101="","",100*ABS(H101-I101)/I101)</f>
        <v>4.9238210299931708</v>
      </c>
      <c r="K101" s="127">
        <v>5</v>
      </c>
      <c r="L101" s="36" t="str">
        <f>IF(J101="","",IF(ABS(J101)&lt;=K101/2,"PASS",IF(ABS(J101)&lt;=K101,"MARGINAL","FAIL")))</f>
        <v>MARGINAL</v>
      </c>
      <c r="M101" s="80"/>
      <c r="N101" s="228"/>
      <c r="O101" s="4"/>
    </row>
    <row r="102" spans="2:20" x14ac:dyDescent="0.2">
      <c r="B102" s="230"/>
      <c r="C102" s="282"/>
      <c r="D102" s="283"/>
      <c r="E102" s="80"/>
      <c r="F102" s="80"/>
      <c r="G102" s="80"/>
      <c r="H102" s="80"/>
      <c r="I102" s="80"/>
      <c r="J102" s="80"/>
      <c r="K102" s="80"/>
      <c r="L102" s="80"/>
      <c r="M102" s="80"/>
      <c r="N102" s="228"/>
      <c r="O102" s="4"/>
    </row>
    <row r="103" spans="2:20" ht="15.75" x14ac:dyDescent="0.25">
      <c r="B103" s="230"/>
      <c r="C103" s="113" t="s">
        <v>266</v>
      </c>
      <c r="D103" s="114"/>
      <c r="E103" s="114"/>
      <c r="F103" s="160" t="str">
        <f>IF(OR(H12="VICEDAR_TB4",H12="VISPRUCE_TB5",H12="VIOAK_TB6"),"(NOT APPLICABLE)","")</f>
        <v/>
      </c>
      <c r="G103" s="114"/>
      <c r="H103" s="114"/>
      <c r="I103" s="114"/>
      <c r="J103" s="197" t="s">
        <v>472</v>
      </c>
      <c r="K103" s="329" t="s">
        <v>528</v>
      </c>
      <c r="L103" s="329"/>
      <c r="M103" s="114"/>
      <c r="N103" s="228"/>
      <c r="O103" s="4"/>
    </row>
    <row r="104" spans="2:20" x14ac:dyDescent="0.2">
      <c r="B104" s="227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228"/>
      <c r="O104" s="4"/>
    </row>
    <row r="105" spans="2:20" ht="18.75" x14ac:dyDescent="0.35">
      <c r="B105" s="227"/>
      <c r="C105" s="22" t="s">
        <v>250</v>
      </c>
      <c r="D105" s="59">
        <v>754.7</v>
      </c>
      <c r="E105" s="7"/>
      <c r="F105" s="22" t="s">
        <v>249</v>
      </c>
      <c r="G105" s="59">
        <v>22</v>
      </c>
      <c r="H105" s="1"/>
      <c r="I105" s="22" t="s">
        <v>262</v>
      </c>
      <c r="J105" s="23">
        <f>IF(OR(D105="",G105=""),"",(760/D105)*(273.15+G105)/295.15)</f>
        <v>1.0070226580098052</v>
      </c>
      <c r="K105" s="80"/>
      <c r="L105" s="80"/>
      <c r="M105" s="80"/>
      <c r="N105" s="228"/>
      <c r="O105" s="4"/>
      <c r="T105" s="5"/>
    </row>
    <row r="106" spans="2:20" x14ac:dyDescent="0.2">
      <c r="B106" s="227"/>
      <c r="C106" s="7"/>
      <c r="D106" s="7"/>
      <c r="E106" s="7"/>
      <c r="F106" s="7"/>
      <c r="G106" s="7"/>
      <c r="H106" s="7"/>
      <c r="I106" s="7"/>
      <c r="J106" s="7"/>
      <c r="K106" s="80"/>
      <c r="L106" s="80"/>
      <c r="M106" s="80"/>
      <c r="N106" s="228"/>
      <c r="O106" s="4"/>
      <c r="R106" s="2"/>
    </row>
    <row r="107" spans="2:20" ht="14.25" x14ac:dyDescent="0.25">
      <c r="B107" s="227"/>
      <c r="C107" s="24" t="s">
        <v>123</v>
      </c>
      <c r="D107" s="21" t="s">
        <v>181</v>
      </c>
      <c r="E107" s="80"/>
      <c r="F107" s="24" t="s">
        <v>28</v>
      </c>
      <c r="G107" s="25" t="s">
        <v>119</v>
      </c>
      <c r="H107" s="7"/>
      <c r="I107" s="185" t="s">
        <v>479</v>
      </c>
      <c r="J107" s="71">
        <f>IF(D107="","",VLOOKUP(D107,Data!G31:K34,5,FALSE))</f>
        <v>1.0400903444381704</v>
      </c>
      <c r="K107" s="80"/>
      <c r="L107" s="80"/>
      <c r="M107" s="80"/>
      <c r="N107" s="228"/>
      <c r="O107" s="4"/>
    </row>
    <row r="108" spans="2:20" x14ac:dyDescent="0.2">
      <c r="B108" s="227"/>
      <c r="C108" s="7"/>
      <c r="D108" s="79" t="s">
        <v>64</v>
      </c>
      <c r="E108" s="80"/>
      <c r="F108" s="7" t="s">
        <v>37</v>
      </c>
      <c r="G108" s="7"/>
      <c r="H108" s="7"/>
      <c r="I108" s="1"/>
      <c r="J108" s="80"/>
      <c r="K108" s="7"/>
      <c r="L108" s="7"/>
      <c r="M108" s="7"/>
      <c r="N108" s="228"/>
      <c r="O108" s="4"/>
    </row>
    <row r="109" spans="2:20" x14ac:dyDescent="0.2">
      <c r="B109" s="22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228"/>
      <c r="O109" s="4"/>
    </row>
    <row r="110" spans="2:20" x14ac:dyDescent="0.2">
      <c r="B110" s="227"/>
      <c r="C110" s="79" t="s">
        <v>489</v>
      </c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228"/>
      <c r="O110" s="4"/>
    </row>
    <row r="111" spans="2:20" x14ac:dyDescent="0.2">
      <c r="B111" s="227"/>
      <c r="C111" s="79" t="s">
        <v>496</v>
      </c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228"/>
      <c r="O111" s="4"/>
      <c r="Q111" s="272"/>
    </row>
    <row r="112" spans="2:20" x14ac:dyDescent="0.2">
      <c r="B112" s="227"/>
      <c r="C112" s="79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228"/>
      <c r="O112" s="4"/>
    </row>
    <row r="113" spans="2:16" x14ac:dyDescent="0.2">
      <c r="B113" s="227"/>
      <c r="C113" s="108" t="s">
        <v>331</v>
      </c>
      <c r="D113" s="7"/>
      <c r="E113" s="7"/>
      <c r="F113" s="161" t="s">
        <v>332</v>
      </c>
      <c r="G113" s="1"/>
      <c r="H113" s="7"/>
      <c r="I113" s="7"/>
      <c r="J113" s="7"/>
      <c r="K113" s="7"/>
      <c r="L113" s="7"/>
      <c r="M113" s="7"/>
      <c r="N113" s="228"/>
      <c r="P113" s="95"/>
    </row>
    <row r="114" spans="2:16" x14ac:dyDescent="0.2">
      <c r="B114" s="227"/>
      <c r="C114" s="26" t="s">
        <v>38</v>
      </c>
      <c r="D114" s="26" t="s">
        <v>43</v>
      </c>
      <c r="E114" s="26" t="s">
        <v>39</v>
      </c>
      <c r="F114" s="26" t="s">
        <v>40</v>
      </c>
      <c r="G114" s="26" t="s">
        <v>41</v>
      </c>
      <c r="H114" s="26" t="s">
        <v>42</v>
      </c>
      <c r="I114" s="26" t="s">
        <v>49</v>
      </c>
      <c r="J114" s="26" t="s">
        <v>66</v>
      </c>
      <c r="K114" s="26" t="s">
        <v>51</v>
      </c>
      <c r="L114" s="27" t="s">
        <v>44</v>
      </c>
      <c r="M114" s="28"/>
      <c r="N114" s="228"/>
      <c r="P114" s="95" t="s">
        <v>156</v>
      </c>
    </row>
    <row r="115" spans="2:16" x14ac:dyDescent="0.2">
      <c r="B115" s="238" t="s">
        <v>157</v>
      </c>
      <c r="C115" s="29" t="s">
        <v>65</v>
      </c>
      <c r="D115" s="29" t="s">
        <v>46</v>
      </c>
      <c r="E115" s="29"/>
      <c r="F115" s="29"/>
      <c r="G115" s="29"/>
      <c r="H115" s="29" t="s">
        <v>47</v>
      </c>
      <c r="I115" s="29" t="s">
        <v>48</v>
      </c>
      <c r="J115" s="29" t="s">
        <v>48</v>
      </c>
      <c r="K115" s="29" t="s">
        <v>50</v>
      </c>
      <c r="L115" s="29" t="s">
        <v>50</v>
      </c>
      <c r="M115" s="30"/>
      <c r="N115" s="228"/>
      <c r="P115" s="96" t="s">
        <v>164</v>
      </c>
    </row>
    <row r="116" spans="2:16" x14ac:dyDescent="0.2">
      <c r="B116" s="264">
        <v>1.5</v>
      </c>
      <c r="C116" s="50" t="s">
        <v>175</v>
      </c>
      <c r="D116" s="202">
        <f>IF(H$12="","",VLOOKUP(H$12,Data!$AA$32:$AG$34,3,FALSE))</f>
        <v>51.8</v>
      </c>
      <c r="E116" s="109">
        <v>1.851</v>
      </c>
      <c r="F116" s="109">
        <v>1.8520000000000001</v>
      </c>
      <c r="G116" s="109"/>
      <c r="H116" s="44">
        <f>IF(OR(E116&lt;&gt;"",F116&lt;&gt;"",G116&lt;&gt;""),AVERAGE(E116:G116),"")</f>
        <v>1.8515000000000001</v>
      </c>
      <c r="I116" s="35">
        <f>IF(OR(H116="",D116="",$J$105="",$J$107=""),"",H116*D116*$J$105*$J$107)</f>
        <v>100.45320163340038</v>
      </c>
      <c r="J116" s="35">
        <f>IF(C116="","",100)</f>
        <v>100</v>
      </c>
      <c r="K116" s="35">
        <f>IF(I116&lt;&gt;"",I116-J116,"")</f>
        <v>0.45320163340038278</v>
      </c>
      <c r="L116" s="35">
        <f>IF(C116="","",2)</f>
        <v>2</v>
      </c>
      <c r="M116" s="36" t="str">
        <f>IF(K116="","",IF(ABS(K116)&lt;=L116/2,"PASS",IF(ABS(K116)&lt;=L116,"MARGINAL","FAIL")))</f>
        <v>PASS</v>
      </c>
      <c r="N116" s="231"/>
      <c r="P116" s="96" t="s">
        <v>159</v>
      </c>
    </row>
    <row r="117" spans="2:16" x14ac:dyDescent="0.2">
      <c r="B117" s="264">
        <v>2.5</v>
      </c>
      <c r="C117" s="50" t="s">
        <v>176</v>
      </c>
      <c r="D117" s="202">
        <f>IF(H$12="","",VLOOKUP(H$12,Data!$AA$32:$AG$34,4,FALSE))</f>
        <v>51.8</v>
      </c>
      <c r="E117" s="46">
        <v>1.845</v>
      </c>
      <c r="F117" s="46">
        <v>1.8480000000000001</v>
      </c>
      <c r="G117" s="46"/>
      <c r="H117" s="44">
        <f>IF(OR(E117&lt;&gt;"",F117&lt;&gt;"",G117&lt;&gt;""),AVERAGE(E117:G117),"")</f>
        <v>1.8465</v>
      </c>
      <c r="I117" s="35">
        <f>IF(OR(H117="",D117="",$J$105="",$J$107=""),"",H117*D117*$J$105*$J$107)</f>
        <v>100.18192644670471</v>
      </c>
      <c r="J117" s="39">
        <f>IF(C117="","",100)</f>
        <v>100</v>
      </c>
      <c r="K117" s="39">
        <f>IF(I117&lt;&gt;"",I117-J117,"")</f>
        <v>0.1819264467047077</v>
      </c>
      <c r="L117" s="39">
        <f>IF(C117="","",2)</f>
        <v>2</v>
      </c>
      <c r="M117" s="36" t="str">
        <f>IF(K117="","",IF(ABS(K117)&lt;=L117/2,"PASS",IF(ABS(K117)&lt;=L117,"MARGINAL","FAIL")))</f>
        <v>PASS</v>
      </c>
      <c r="N117" s="231"/>
      <c r="P117" s="96" t="s">
        <v>160</v>
      </c>
    </row>
    <row r="118" spans="2:16" x14ac:dyDescent="0.2">
      <c r="B118" s="264">
        <v>2.5</v>
      </c>
      <c r="C118" s="50" t="s">
        <v>177</v>
      </c>
      <c r="D118" s="202">
        <f>IF(H$12="","",VLOOKUP(H$12,Data!$AA$32:$AG$34,5,FALSE))</f>
        <v>49.4</v>
      </c>
      <c r="E118" s="109">
        <v>1.9530000000000001</v>
      </c>
      <c r="F118" s="109">
        <v>1.9450000000000001</v>
      </c>
      <c r="G118" s="109"/>
      <c r="H118" s="44">
        <f>IF(OR(E118&lt;&gt;"",F118&lt;&gt;"",G118&lt;&gt;""),AVERAGE(E118:G118),"")</f>
        <v>1.9490000000000001</v>
      </c>
      <c r="I118" s="35">
        <f>IF(OR(H118="",D118="",$J$105="",$J$107=""),"",H118*D118*$J$105*$J$107)</f>
        <v>100.84377505856952</v>
      </c>
      <c r="J118" s="35">
        <f>IF(C118="","",100)</f>
        <v>100</v>
      </c>
      <c r="K118" s="35">
        <f>IF(I118&lt;&gt;"",I118-J118,"")</f>
        <v>0.84377505856951984</v>
      </c>
      <c r="L118" s="35">
        <f>IF(C118="","",2)</f>
        <v>2</v>
      </c>
      <c r="M118" s="36" t="str">
        <f>IF(K118="","",IF(ABS(K118)&lt;=L118/2,"PASS",IF(ABS(K118)&lt;=L118,"MARGINAL","FAIL")))</f>
        <v>PASS</v>
      </c>
      <c r="N118" s="231"/>
      <c r="P118" s="96" t="s">
        <v>161</v>
      </c>
    </row>
    <row r="119" spans="2:16" x14ac:dyDescent="0.2">
      <c r="B119" s="264">
        <v>2.5</v>
      </c>
      <c r="C119" s="50" t="s">
        <v>178</v>
      </c>
      <c r="D119" s="202">
        <f>IF(H$12="","",VLOOKUP(H$12,Data!$AA$32:$AG$34,6,FALSE))</f>
        <v>47.9</v>
      </c>
      <c r="E119" s="109">
        <v>2.0129999999999999</v>
      </c>
      <c r="F119" s="109">
        <v>2.008</v>
      </c>
      <c r="G119" s="109"/>
      <c r="H119" s="44">
        <f>IF(OR(E119&lt;&gt;"",F119&lt;&gt;"",G119&lt;&gt;""),AVERAGE(E119:G119),"")</f>
        <v>2.0105</v>
      </c>
      <c r="I119" s="35">
        <f>IF(OR(H119="",D119="",$J$105="",$J$107=""),"",H119*D119*$J$105*$J$107)</f>
        <v>100.86718432661063</v>
      </c>
      <c r="J119" s="35">
        <f>IF(C119="","",100)</f>
        <v>100</v>
      </c>
      <c r="K119" s="35">
        <f>IF(I119&lt;&gt;"",I119-J119,"")</f>
        <v>0.8671843266106265</v>
      </c>
      <c r="L119" s="35">
        <f>IF(C119="","",2)</f>
        <v>2</v>
      </c>
      <c r="M119" s="36" t="str">
        <f>IF(K119="","",IF(ABS(K119)&lt;=L119/2,"PASS",IF(ABS(K119)&lt;=L119,"MARGINAL","FAIL")))</f>
        <v>PASS</v>
      </c>
      <c r="N119" s="231"/>
      <c r="P119" s="96" t="s">
        <v>162</v>
      </c>
    </row>
    <row r="120" spans="2:16" x14ac:dyDescent="0.2">
      <c r="B120" s="264">
        <v>2.5</v>
      </c>
      <c r="C120" s="50" t="s">
        <v>179</v>
      </c>
      <c r="D120" s="202">
        <f>IF(H$12="","",VLOOKUP(H$12,Data!$AA$32:$AG$34,7,FALSE))</f>
        <v>46.8</v>
      </c>
      <c r="E120" s="109">
        <v>2.06</v>
      </c>
      <c r="F120" s="109">
        <v>2.06</v>
      </c>
      <c r="G120" s="109"/>
      <c r="H120" s="44">
        <f>IF(OR(E120&lt;&gt;"",F120&lt;&gt;"",G120&lt;&gt;""),AVERAGE(E120:G120),"")</f>
        <v>2.06</v>
      </c>
      <c r="I120" s="35">
        <f>IF(OR(H120="",D120="",$J$105="",$J$107=""),"",H120*D120*$J$105*$J$107)</f>
        <v>100.97721312337657</v>
      </c>
      <c r="J120" s="35">
        <f>IF(C120="","",100)</f>
        <v>100</v>
      </c>
      <c r="K120" s="35">
        <f>IF(I120&lt;&gt;"",I120-J120,"")</f>
        <v>0.97721312337657196</v>
      </c>
      <c r="L120" s="35">
        <f>IF(C120="","",2)</f>
        <v>2</v>
      </c>
      <c r="M120" s="36" t="str">
        <f>IF(K120="","",IF(ABS(K120)&lt;=L120/2,"PASS",IF(ABS(K120)&lt;=L120,"MARGINAL","FAIL")))</f>
        <v>PASS</v>
      </c>
      <c r="N120" s="231"/>
      <c r="P120" s="96" t="s">
        <v>163</v>
      </c>
    </row>
    <row r="121" spans="2:16" x14ac:dyDescent="0.2">
      <c r="B121" s="227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228"/>
    </row>
    <row r="122" spans="2:16" ht="15.75" x14ac:dyDescent="0.25">
      <c r="B122" s="230"/>
      <c r="C122" s="113" t="s">
        <v>393</v>
      </c>
      <c r="D122" s="115"/>
      <c r="E122" s="115"/>
      <c r="F122" s="115"/>
      <c r="G122" s="115"/>
      <c r="H122" s="115"/>
      <c r="I122" s="115"/>
      <c r="J122" s="197" t="s">
        <v>472</v>
      </c>
      <c r="K122" s="329" t="s">
        <v>528</v>
      </c>
      <c r="L122" s="329"/>
      <c r="M122" s="115"/>
      <c r="N122" s="239"/>
    </row>
    <row r="123" spans="2:16" x14ac:dyDescent="0.2">
      <c r="B123" s="227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228"/>
    </row>
    <row r="124" spans="2:16" hidden="1" x14ac:dyDescent="0.2">
      <c r="B124" s="227"/>
      <c r="C124" s="108" t="s">
        <v>394</v>
      </c>
      <c r="D124" s="7"/>
      <c r="E124" s="7"/>
      <c r="F124" s="7"/>
      <c r="G124" s="161" t="str">
        <f>IF(H12="VIOAK_TB6","7A_LITERADHD.dcm","7A_LITERAD.dcm")</f>
        <v>7A_LITERAD.dcm</v>
      </c>
      <c r="H124" s="7"/>
      <c r="I124" s="7"/>
      <c r="J124" s="7"/>
      <c r="K124" s="7"/>
      <c r="L124" s="7"/>
      <c r="M124" s="7"/>
      <c r="N124" s="228"/>
    </row>
    <row r="125" spans="2:16" hidden="1" x14ac:dyDescent="0.2">
      <c r="B125" s="227"/>
      <c r="C125" s="79" t="s">
        <v>458</v>
      </c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228"/>
      <c r="P125" s="94"/>
    </row>
    <row r="126" spans="2:16" hidden="1" x14ac:dyDescent="0.2">
      <c r="B126" s="227"/>
      <c r="C126" s="79" t="s">
        <v>460</v>
      </c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228"/>
      <c r="P126" s="95"/>
    </row>
    <row r="127" spans="2:16" hidden="1" x14ac:dyDescent="0.2">
      <c r="B127" s="227"/>
      <c r="C127" s="79" t="s">
        <v>459</v>
      </c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228"/>
    </row>
    <row r="128" spans="2:16" hidden="1" x14ac:dyDescent="0.2">
      <c r="B128" s="227"/>
      <c r="C128" s="7"/>
      <c r="D128" s="7"/>
      <c r="E128" s="7"/>
      <c r="F128" s="7"/>
      <c r="G128" s="7"/>
      <c r="H128" s="7"/>
      <c r="I128" s="7"/>
      <c r="J128" s="7"/>
      <c r="K128" s="57"/>
      <c r="L128" s="7"/>
      <c r="M128" s="7"/>
      <c r="N128" s="228"/>
    </row>
    <row r="129" spans="2:14" hidden="1" x14ac:dyDescent="0.2">
      <c r="B129" s="227"/>
      <c r="C129" s="26" t="s">
        <v>38</v>
      </c>
      <c r="D129" s="26"/>
      <c r="E129" s="26" t="s">
        <v>103</v>
      </c>
      <c r="F129" s="26" t="s">
        <v>104</v>
      </c>
      <c r="G129" s="26" t="s">
        <v>105</v>
      </c>
      <c r="H129" s="26" t="s">
        <v>71</v>
      </c>
      <c r="I129" s="26" t="s">
        <v>44</v>
      </c>
      <c r="J129" s="7"/>
      <c r="K129" s="7"/>
      <c r="L129" s="7"/>
      <c r="M129" s="7"/>
      <c r="N129" s="228"/>
    </row>
    <row r="130" spans="2:14" hidden="1" x14ac:dyDescent="0.2">
      <c r="B130" s="227"/>
      <c r="C130" s="29" t="s">
        <v>45</v>
      </c>
      <c r="D130" s="29"/>
      <c r="E130" s="29"/>
      <c r="F130" s="29"/>
      <c r="G130" s="29"/>
      <c r="H130" s="29"/>
      <c r="I130" s="29" t="s">
        <v>72</v>
      </c>
      <c r="J130" s="7"/>
      <c r="K130" s="7"/>
      <c r="L130" s="7"/>
      <c r="M130" s="7"/>
      <c r="N130" s="228"/>
    </row>
    <row r="131" spans="2:14" hidden="1" x14ac:dyDescent="0.2">
      <c r="B131" s="227"/>
      <c r="C131" s="97" t="s">
        <v>166</v>
      </c>
      <c r="D131" s="31" t="s">
        <v>169</v>
      </c>
      <c r="E131" s="59">
        <v>0</v>
      </c>
      <c r="F131" s="59">
        <v>0</v>
      </c>
      <c r="G131" s="59">
        <v>-0.5</v>
      </c>
      <c r="H131" s="59">
        <v>0</v>
      </c>
      <c r="I131" s="35">
        <f t="shared" ref="I131:I137" si="0">IF(C131&lt;&gt;"",2,"")</f>
        <v>2</v>
      </c>
      <c r="J131" s="36" t="str">
        <f t="shared" ref="J131:J137" si="1">IF(OR(C131="",E131="",F131="",G131="",H131=""),"",IF(AND(ABS(E131)&lt;=I131,ABS(F131)&lt;=I131,ABS(G131)&lt;=I131,ABS(H131)&lt;=I131),"PASS","FAIL"))</f>
        <v>PASS</v>
      </c>
      <c r="K131" s="90" t="s">
        <v>168</v>
      </c>
      <c r="L131" s="80"/>
      <c r="M131" s="7"/>
      <c r="N131" s="228"/>
    </row>
    <row r="132" spans="2:14" hidden="1" x14ac:dyDescent="0.2">
      <c r="B132" s="227"/>
      <c r="C132" s="43">
        <v>6</v>
      </c>
      <c r="D132" s="43" t="s">
        <v>165</v>
      </c>
      <c r="E132" s="59">
        <v>-0.4</v>
      </c>
      <c r="F132" s="59">
        <v>1</v>
      </c>
      <c r="G132" s="59">
        <v>0.5</v>
      </c>
      <c r="H132" s="59">
        <v>0</v>
      </c>
      <c r="I132" s="35">
        <f t="shared" si="0"/>
        <v>2</v>
      </c>
      <c r="J132" s="36" t="str">
        <f t="shared" si="1"/>
        <v>PASS</v>
      </c>
      <c r="K132" s="90" t="s">
        <v>170</v>
      </c>
      <c r="L132" s="1"/>
      <c r="M132" s="7"/>
      <c r="N132" s="228"/>
    </row>
    <row r="133" spans="2:14" hidden="1" x14ac:dyDescent="0.2">
      <c r="B133" s="227"/>
      <c r="C133" s="43">
        <v>10</v>
      </c>
      <c r="D133" s="43" t="s">
        <v>165</v>
      </c>
      <c r="E133" s="59">
        <v>-0.6</v>
      </c>
      <c r="F133" s="59">
        <v>0.8</v>
      </c>
      <c r="G133" s="59">
        <v>0.1</v>
      </c>
      <c r="H133" s="59">
        <v>0.1</v>
      </c>
      <c r="I133" s="35">
        <f t="shared" si="0"/>
        <v>2</v>
      </c>
      <c r="J133" s="36" t="str">
        <f t="shared" si="1"/>
        <v>PASS</v>
      </c>
      <c r="K133" s="90" t="s">
        <v>170</v>
      </c>
      <c r="L133" s="7"/>
      <c r="M133" s="7"/>
      <c r="N133" s="228"/>
    </row>
    <row r="134" spans="2:14" hidden="1" x14ac:dyDescent="0.2">
      <c r="B134" s="227"/>
      <c r="C134" s="43">
        <v>15</v>
      </c>
      <c r="D134" s="43" t="s">
        <v>165</v>
      </c>
      <c r="E134" s="59">
        <v>-0.9</v>
      </c>
      <c r="F134" s="59">
        <v>1</v>
      </c>
      <c r="G134" s="59">
        <v>0.3</v>
      </c>
      <c r="H134" s="59">
        <v>-0.4</v>
      </c>
      <c r="I134" s="35">
        <f t="shared" si="0"/>
        <v>2</v>
      </c>
      <c r="J134" s="36" t="str">
        <f t="shared" si="1"/>
        <v>PASS</v>
      </c>
      <c r="K134" s="90" t="s">
        <v>170</v>
      </c>
      <c r="L134" s="7"/>
      <c r="M134" s="7"/>
      <c r="N134" s="228"/>
    </row>
    <row r="135" spans="2:14" hidden="1" x14ac:dyDescent="0.2">
      <c r="B135" s="227"/>
      <c r="C135" s="43">
        <v>6</v>
      </c>
      <c r="D135" s="43" t="s">
        <v>167</v>
      </c>
      <c r="E135" s="110">
        <f>IF(OR(E131="",E132=""),"",E132-E131)</f>
        <v>-0.4</v>
      </c>
      <c r="F135" s="110">
        <f>IF(OR(F131="",F132=""),"",F132-F131)</f>
        <v>1</v>
      </c>
      <c r="G135" s="110">
        <f>IF(OR(G131="",G132=""),"",G132-G131)</f>
        <v>1</v>
      </c>
      <c r="H135" s="110">
        <f>IF(OR(H131="",H132=""),"",H132-H131)</f>
        <v>0</v>
      </c>
      <c r="I135" s="35">
        <f t="shared" si="0"/>
        <v>2</v>
      </c>
      <c r="J135" s="36" t="str">
        <f t="shared" si="1"/>
        <v>PASS</v>
      </c>
      <c r="K135" s="90" t="s">
        <v>171</v>
      </c>
      <c r="L135" s="1"/>
      <c r="M135" s="7"/>
      <c r="N135" s="228"/>
    </row>
    <row r="136" spans="2:14" hidden="1" x14ac:dyDescent="0.2">
      <c r="B136" s="227"/>
      <c r="C136" s="43">
        <v>10</v>
      </c>
      <c r="D136" s="43" t="s">
        <v>167</v>
      </c>
      <c r="E136" s="110">
        <f>IF(OR(E131="",E133=""),"",E133-E131)</f>
        <v>-0.6</v>
      </c>
      <c r="F136" s="110">
        <f>IF(OR(F131="",F133=""),"",F133-F131)</f>
        <v>0.8</v>
      </c>
      <c r="G136" s="110">
        <f>IF(OR(G131="",G133=""),"",G133-G131)</f>
        <v>0.6</v>
      </c>
      <c r="H136" s="110">
        <f>IF(OR(H131="",H133=""),"",H133-H131)</f>
        <v>0.1</v>
      </c>
      <c r="I136" s="35">
        <f t="shared" si="0"/>
        <v>2</v>
      </c>
      <c r="J136" s="36" t="str">
        <f t="shared" si="1"/>
        <v>PASS</v>
      </c>
      <c r="K136" s="90" t="s">
        <v>171</v>
      </c>
      <c r="L136" s="7"/>
      <c r="M136" s="7"/>
      <c r="N136" s="228"/>
    </row>
    <row r="137" spans="2:14" hidden="1" x14ac:dyDescent="0.2">
      <c r="B137" s="227"/>
      <c r="C137" s="43">
        <v>15</v>
      </c>
      <c r="D137" s="43" t="s">
        <v>167</v>
      </c>
      <c r="E137" s="110">
        <f>IF(OR(E131="",E134=""),"",E134-E131)</f>
        <v>-0.9</v>
      </c>
      <c r="F137" s="110">
        <f>IF(OR(F131="",F134=""),"",F134-F131)</f>
        <v>1</v>
      </c>
      <c r="G137" s="110">
        <f>IF(OR(G131="",G134=""),"",G134-G131)</f>
        <v>0.8</v>
      </c>
      <c r="H137" s="110">
        <f>IF(OR(H131="",H134=""),"",H134-H131)</f>
        <v>-0.4</v>
      </c>
      <c r="I137" s="35">
        <f t="shared" si="0"/>
        <v>2</v>
      </c>
      <c r="J137" s="36" t="str">
        <f t="shared" si="1"/>
        <v>PASS</v>
      </c>
      <c r="K137" s="90" t="s">
        <v>171</v>
      </c>
      <c r="L137" s="7"/>
      <c r="M137" s="7"/>
      <c r="N137" s="228"/>
    </row>
    <row r="138" spans="2:14" hidden="1" x14ac:dyDescent="0.2">
      <c r="B138" s="227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228"/>
    </row>
    <row r="139" spans="2:14" hidden="1" x14ac:dyDescent="0.2">
      <c r="B139" s="227"/>
      <c r="C139" s="108" t="s">
        <v>395</v>
      </c>
      <c r="D139" s="7"/>
      <c r="E139" s="7"/>
      <c r="F139" s="7"/>
      <c r="G139" s="161" t="str">
        <f>IF(H12="VIOAK_TB6","7A_LITERADHD.dcm","7A_LITERAD.dcm")</f>
        <v>7A_LITERAD.dcm</v>
      </c>
      <c r="H139" s="7"/>
      <c r="I139" s="7"/>
      <c r="J139" s="7"/>
      <c r="K139" s="7"/>
      <c r="L139" s="7"/>
      <c r="M139" s="7"/>
      <c r="N139" s="228"/>
    </row>
    <row r="140" spans="2:14" hidden="1" x14ac:dyDescent="0.2">
      <c r="B140" s="227"/>
      <c r="C140" s="79" t="s">
        <v>384</v>
      </c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228"/>
    </row>
    <row r="141" spans="2:14" hidden="1" x14ac:dyDescent="0.2">
      <c r="B141" s="227"/>
      <c r="C141" s="79" t="s">
        <v>173</v>
      </c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228"/>
    </row>
    <row r="142" spans="2:14" hidden="1" x14ac:dyDescent="0.2">
      <c r="B142" s="227"/>
      <c r="C142" s="7"/>
      <c r="D142" s="7"/>
      <c r="E142" s="7"/>
      <c r="F142" s="7"/>
      <c r="G142" s="7"/>
      <c r="H142" s="7"/>
      <c r="I142" s="7"/>
      <c r="J142" s="7"/>
      <c r="K142" s="57"/>
      <c r="L142" s="7"/>
      <c r="M142" s="7"/>
      <c r="N142" s="228"/>
    </row>
    <row r="143" spans="2:14" hidden="1" x14ac:dyDescent="0.2">
      <c r="B143" s="227"/>
      <c r="C143" s="26" t="s">
        <v>38</v>
      </c>
      <c r="D143" s="26"/>
      <c r="E143" s="26" t="s">
        <v>103</v>
      </c>
      <c r="F143" s="26" t="s">
        <v>104</v>
      </c>
      <c r="G143" s="26" t="s">
        <v>105</v>
      </c>
      <c r="H143" s="26" t="s">
        <v>71</v>
      </c>
      <c r="I143" s="26" t="s">
        <v>44</v>
      </c>
      <c r="J143" s="7"/>
      <c r="K143" s="80"/>
      <c r="L143" s="80"/>
      <c r="M143" s="80"/>
      <c r="N143" s="228"/>
    </row>
    <row r="144" spans="2:14" hidden="1" x14ac:dyDescent="0.2">
      <c r="B144" s="227"/>
      <c r="C144" s="29" t="s">
        <v>45</v>
      </c>
      <c r="D144" s="29"/>
      <c r="E144" s="29"/>
      <c r="F144" s="29"/>
      <c r="G144" s="29"/>
      <c r="H144" s="29"/>
      <c r="I144" s="29" t="s">
        <v>72</v>
      </c>
      <c r="J144" s="7"/>
      <c r="K144" s="80"/>
      <c r="L144" s="80"/>
      <c r="M144" s="80"/>
      <c r="N144" s="228"/>
    </row>
    <row r="145" spans="2:17" hidden="1" x14ac:dyDescent="0.2">
      <c r="B145" s="227"/>
      <c r="C145" s="97" t="s">
        <v>166</v>
      </c>
      <c r="D145" s="31" t="s">
        <v>169</v>
      </c>
      <c r="E145" s="59">
        <v>0</v>
      </c>
      <c r="F145" s="59">
        <v>0.5</v>
      </c>
      <c r="G145" s="59">
        <v>-0.5</v>
      </c>
      <c r="H145" s="59">
        <v>-0.5</v>
      </c>
      <c r="I145" s="35">
        <v>1</v>
      </c>
      <c r="J145" s="36" t="str">
        <f>IF(OR(C145="",E145="",F145="",G145="",H145=""),"",IF(AND(ABS(E145)&lt;=I145,ABS(F145)&lt;=I145,ABS(G145)&lt;=I145,ABS(H145)&lt;=I145),"PASS","FAIL"))</f>
        <v>PASS</v>
      </c>
      <c r="K145" s="219" t="s">
        <v>168</v>
      </c>
      <c r="L145" s="80"/>
      <c r="M145" s="80"/>
      <c r="N145" s="228"/>
    </row>
    <row r="146" spans="2:17" hidden="1" x14ac:dyDescent="0.2">
      <c r="B146" s="227"/>
      <c r="C146" s="43">
        <v>6</v>
      </c>
      <c r="D146" s="43" t="s">
        <v>165</v>
      </c>
      <c r="E146" s="59">
        <v>-0.2</v>
      </c>
      <c r="F146" s="59">
        <v>1.4</v>
      </c>
      <c r="G146" s="59">
        <v>0.2</v>
      </c>
      <c r="H146" s="59">
        <v>-0.5</v>
      </c>
      <c r="I146" s="35">
        <f>IF(C146&lt;&gt;"",2,"")</f>
        <v>2</v>
      </c>
      <c r="J146" s="36" t="str">
        <f>IF(OR(C146="",E146="",F146="",G146="",H146=""),"",IF(AND(ABS(E146)&lt;=I146,ABS(F146)&lt;=I146,ABS(G146)&lt;=I146,ABS(H146)&lt;=I146),"PASS","FAIL"))</f>
        <v>PASS</v>
      </c>
      <c r="K146" s="219" t="s">
        <v>170</v>
      </c>
      <c r="L146" s="80"/>
      <c r="M146" s="80"/>
      <c r="N146" s="228"/>
    </row>
    <row r="147" spans="2:17" hidden="1" x14ac:dyDescent="0.2">
      <c r="B147" s="227"/>
      <c r="C147" s="43">
        <v>6</v>
      </c>
      <c r="D147" s="43" t="s">
        <v>167</v>
      </c>
      <c r="E147" s="110">
        <f>IF(OR(E145="",E146=""),"",E146-E145)</f>
        <v>-0.2</v>
      </c>
      <c r="F147" s="110">
        <f>IF(OR(F145="",F146=""),"",F146-F145)</f>
        <v>0.89999999999999991</v>
      </c>
      <c r="G147" s="110">
        <f>IF(OR(G145="",G146=""),"",G146-G145)</f>
        <v>0.7</v>
      </c>
      <c r="H147" s="110">
        <f>IF(OR(H145="",H146=""),"",H146-H145)</f>
        <v>0</v>
      </c>
      <c r="I147" s="35">
        <f>IF(C147&lt;&gt;"",2,"")</f>
        <v>2</v>
      </c>
      <c r="J147" s="36" t="str">
        <f>IF(OR(C147="",E147="",F147="",G147="",H147=""),"",IF(AND(ABS(E147)&lt;=I147,ABS(F147)&lt;=I147,ABS(G147)&lt;=I147,ABS(H147)&lt;=I147),"PASS","FAIL"))</f>
        <v>PASS</v>
      </c>
      <c r="K147" s="219" t="s">
        <v>171</v>
      </c>
      <c r="L147" s="80"/>
      <c r="M147" s="80"/>
      <c r="N147" s="228"/>
    </row>
    <row r="148" spans="2:17" hidden="1" x14ac:dyDescent="0.2">
      <c r="B148" s="227"/>
      <c r="C148" s="98"/>
      <c r="D148" s="98"/>
      <c r="E148" s="99"/>
      <c r="F148" s="99"/>
      <c r="G148" s="99"/>
      <c r="H148" s="99"/>
      <c r="I148" s="54"/>
      <c r="J148" s="52"/>
      <c r="K148" s="219"/>
      <c r="L148" s="80"/>
      <c r="M148" s="80"/>
      <c r="N148" s="228"/>
    </row>
    <row r="149" spans="2:17" hidden="1" x14ac:dyDescent="0.2">
      <c r="B149" s="227"/>
      <c r="C149" s="108" t="s">
        <v>396</v>
      </c>
      <c r="D149" s="7"/>
      <c r="E149" s="7"/>
      <c r="F149" s="7"/>
      <c r="G149" s="161" t="str">
        <f>IF($H$12="VIOAK_TB6","7B_EPI_HD.dcm","7B_EPI.dcm")</f>
        <v>7B_EPI.dcm</v>
      </c>
      <c r="H149" s="7"/>
      <c r="I149" s="7"/>
      <c r="J149" s="7"/>
      <c r="K149" s="7"/>
      <c r="L149" s="7"/>
      <c r="M149" s="7"/>
      <c r="N149" s="228"/>
    </row>
    <row r="150" spans="2:17" hidden="1" x14ac:dyDescent="0.2">
      <c r="B150" s="227"/>
      <c r="C150" s="79" t="s">
        <v>184</v>
      </c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228"/>
      <c r="P150" s="94"/>
    </row>
    <row r="151" spans="2:17" hidden="1" x14ac:dyDescent="0.2">
      <c r="B151" s="227"/>
      <c r="C151" s="79" t="s">
        <v>172</v>
      </c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228"/>
      <c r="Q151" s="6"/>
    </row>
    <row r="152" spans="2:17" hidden="1" x14ac:dyDescent="0.2">
      <c r="B152" s="227"/>
      <c r="C152" s="79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228"/>
    </row>
    <row r="153" spans="2:17" hidden="1" x14ac:dyDescent="0.2">
      <c r="B153" s="227"/>
      <c r="C153" s="52"/>
      <c r="D153" s="36" t="s">
        <v>73</v>
      </c>
      <c r="E153" s="32">
        <v>90</v>
      </c>
      <c r="F153" s="32">
        <v>0</v>
      </c>
      <c r="G153" s="32">
        <v>270</v>
      </c>
      <c r="H153" s="32">
        <v>270</v>
      </c>
      <c r="I153" s="32">
        <v>0</v>
      </c>
      <c r="J153" s="32">
        <v>90</v>
      </c>
      <c r="K153" s="7"/>
      <c r="L153" s="7"/>
      <c r="M153" s="7"/>
      <c r="N153" s="228"/>
    </row>
    <row r="154" spans="2:17" hidden="1" x14ac:dyDescent="0.2">
      <c r="B154" s="227"/>
      <c r="C154" s="7"/>
      <c r="D154" s="36" t="s">
        <v>75</v>
      </c>
      <c r="E154" s="32">
        <v>10</v>
      </c>
      <c r="F154" s="32">
        <v>10</v>
      </c>
      <c r="G154" s="32">
        <v>10</v>
      </c>
      <c r="H154" s="32">
        <v>0</v>
      </c>
      <c r="I154" s="32">
        <v>0</v>
      </c>
      <c r="J154" s="32">
        <v>0</v>
      </c>
      <c r="K154" s="7"/>
      <c r="L154" s="7"/>
      <c r="M154" s="7"/>
      <c r="N154" s="228"/>
    </row>
    <row r="155" spans="2:17" hidden="1" x14ac:dyDescent="0.2">
      <c r="B155" s="227"/>
      <c r="C155" s="7"/>
      <c r="D155" s="36" t="s">
        <v>74</v>
      </c>
      <c r="E155" s="32">
        <v>0</v>
      </c>
      <c r="F155" s="32">
        <v>0</v>
      </c>
      <c r="G155" s="32">
        <v>0</v>
      </c>
      <c r="H155" s="32">
        <v>9</v>
      </c>
      <c r="I155" s="32">
        <v>9</v>
      </c>
      <c r="J155" s="32">
        <v>9</v>
      </c>
      <c r="K155" s="7"/>
      <c r="L155" s="7"/>
      <c r="M155" s="7"/>
      <c r="N155" s="228"/>
    </row>
    <row r="156" spans="2:17" hidden="1" x14ac:dyDescent="0.2">
      <c r="B156" s="227"/>
      <c r="C156" s="7"/>
      <c r="D156" s="36" t="s">
        <v>76</v>
      </c>
      <c r="E156" s="32">
        <v>0</v>
      </c>
      <c r="F156" s="32">
        <v>0</v>
      </c>
      <c r="G156" s="32">
        <v>0</v>
      </c>
      <c r="H156" s="32">
        <v>10</v>
      </c>
      <c r="I156" s="32">
        <v>10</v>
      </c>
      <c r="J156" s="32">
        <v>10</v>
      </c>
      <c r="K156" s="7"/>
      <c r="L156" s="7"/>
      <c r="M156" s="7"/>
      <c r="N156" s="228"/>
    </row>
    <row r="157" spans="2:17" hidden="1" x14ac:dyDescent="0.2">
      <c r="B157" s="227"/>
      <c r="C157" s="7"/>
      <c r="D157" s="36" t="s">
        <v>77</v>
      </c>
      <c r="E157" s="32">
        <v>9</v>
      </c>
      <c r="F157" s="32">
        <v>9</v>
      </c>
      <c r="G157" s="32">
        <v>9</v>
      </c>
      <c r="H157" s="32">
        <v>0</v>
      </c>
      <c r="I157" s="32">
        <v>0</v>
      </c>
      <c r="J157" s="32">
        <v>0</v>
      </c>
      <c r="K157" s="7"/>
      <c r="L157" s="7"/>
      <c r="M157" s="7"/>
      <c r="N157" s="228"/>
    </row>
    <row r="158" spans="2:17" hidden="1" x14ac:dyDescent="0.2">
      <c r="B158" s="227"/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228"/>
    </row>
    <row r="159" spans="2:17" hidden="1" x14ac:dyDescent="0.2">
      <c r="B159" s="227"/>
      <c r="C159" s="26" t="s">
        <v>38</v>
      </c>
      <c r="D159" s="26" t="s">
        <v>78</v>
      </c>
      <c r="E159" s="26" t="s">
        <v>79</v>
      </c>
      <c r="F159" s="26" t="s">
        <v>80</v>
      </c>
      <c r="G159" s="26" t="s">
        <v>81</v>
      </c>
      <c r="H159" s="26" t="s">
        <v>82</v>
      </c>
      <c r="I159" s="26" t="s">
        <v>83</v>
      </c>
      <c r="J159" s="26" t="s">
        <v>44</v>
      </c>
      <c r="K159" s="26" t="s">
        <v>44</v>
      </c>
      <c r="L159" s="41"/>
      <c r="M159" s="7"/>
      <c r="N159" s="228"/>
    </row>
    <row r="160" spans="2:17" hidden="1" x14ac:dyDescent="0.2">
      <c r="B160" s="227"/>
      <c r="C160" s="29" t="s">
        <v>45</v>
      </c>
      <c r="D160" s="51"/>
      <c r="E160" s="51"/>
      <c r="F160" s="51"/>
      <c r="G160" s="51"/>
      <c r="H160" s="51"/>
      <c r="I160" s="51"/>
      <c r="J160" s="58" t="s">
        <v>85</v>
      </c>
      <c r="K160" s="58" t="s">
        <v>84</v>
      </c>
      <c r="L160" s="41"/>
      <c r="M160" s="7"/>
      <c r="N160" s="228"/>
    </row>
    <row r="161" spans="2:16" hidden="1" x14ac:dyDescent="0.2">
      <c r="B161" s="227"/>
      <c r="C161" s="43">
        <v>6</v>
      </c>
      <c r="D161" s="59">
        <v>-0.4</v>
      </c>
      <c r="E161" s="59">
        <v>-0.2</v>
      </c>
      <c r="F161" s="59">
        <v>-0.1</v>
      </c>
      <c r="G161" s="59">
        <v>0.1</v>
      </c>
      <c r="H161" s="59">
        <v>-16</v>
      </c>
      <c r="I161" s="59">
        <v>16.600000000000001</v>
      </c>
      <c r="J161" s="35">
        <v>1</v>
      </c>
      <c r="K161" s="35">
        <v>20</v>
      </c>
      <c r="L161" s="36" t="str">
        <f>IF(OR(C161="",D161="",E161="",F161="",G161="",H161="",I161=""),"",IF(AND(ABS(D161)&lt;=J161,ABS(E161)&lt;=J161,ABS(F161)&lt;=J161,ABS(G161)&lt;=J161,ABS(H161)&lt;=K161,ABS(I161)&lt;=K161),"PASS","FAIL"))</f>
        <v>PASS</v>
      </c>
      <c r="M161" s="7"/>
      <c r="N161" s="228"/>
    </row>
    <row r="162" spans="2:16" hidden="1" x14ac:dyDescent="0.2">
      <c r="B162" s="227"/>
      <c r="C162" s="7" t="s">
        <v>106</v>
      </c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228"/>
    </row>
    <row r="163" spans="2:16" hidden="1" x14ac:dyDescent="0.2">
      <c r="B163" s="227"/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228"/>
    </row>
    <row r="164" spans="2:16" hidden="1" x14ac:dyDescent="0.2">
      <c r="B164" s="227"/>
      <c r="C164" s="108" t="s">
        <v>397</v>
      </c>
      <c r="D164" s="7"/>
      <c r="E164" s="7"/>
      <c r="F164" s="7"/>
      <c r="G164" s="161" t="str">
        <f>IF($H$12="VIOAK_TB6","7B_EPI_HD.dcm","7B_EPI.dcm")</f>
        <v>7B_EPI.dcm</v>
      </c>
      <c r="H164" s="7"/>
      <c r="I164" s="7"/>
      <c r="J164" s="7"/>
      <c r="K164" s="7"/>
      <c r="L164" s="7"/>
      <c r="M164" s="7"/>
      <c r="N164" s="228"/>
    </row>
    <row r="165" spans="2:16" hidden="1" x14ac:dyDescent="0.2">
      <c r="B165" s="227"/>
      <c r="C165" s="79" t="s">
        <v>423</v>
      </c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228"/>
    </row>
    <row r="166" spans="2:16" hidden="1" x14ac:dyDescent="0.2">
      <c r="B166" s="227"/>
      <c r="C166" s="196" t="s">
        <v>281</v>
      </c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228"/>
    </row>
    <row r="167" spans="2:16" hidden="1" x14ac:dyDescent="0.2">
      <c r="B167" s="227"/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228"/>
    </row>
    <row r="168" spans="2:16" hidden="1" x14ac:dyDescent="0.2">
      <c r="B168" s="227"/>
      <c r="C168" s="47" t="s">
        <v>38</v>
      </c>
      <c r="D168" s="47" t="s">
        <v>86</v>
      </c>
      <c r="E168" s="47" t="s">
        <v>87</v>
      </c>
      <c r="F168" s="47" t="s">
        <v>88</v>
      </c>
      <c r="G168" s="47" t="s">
        <v>89</v>
      </c>
      <c r="H168" s="47" t="s">
        <v>278</v>
      </c>
      <c r="I168" s="47" t="s">
        <v>279</v>
      </c>
      <c r="J168" s="47" t="s">
        <v>90</v>
      </c>
      <c r="K168" s="41"/>
      <c r="L168" s="41"/>
      <c r="M168" s="41"/>
      <c r="N168" s="232"/>
    </row>
    <row r="169" spans="2:16" hidden="1" x14ac:dyDescent="0.2">
      <c r="B169" s="227"/>
      <c r="C169" s="29" t="s">
        <v>45</v>
      </c>
      <c r="D169" s="58" t="s">
        <v>50</v>
      </c>
      <c r="E169" s="58" t="s">
        <v>50</v>
      </c>
      <c r="F169" s="58" t="s">
        <v>50</v>
      </c>
      <c r="G169" s="58" t="s">
        <v>50</v>
      </c>
      <c r="H169" s="58" t="s">
        <v>280</v>
      </c>
      <c r="I169" s="58" t="s">
        <v>280</v>
      </c>
      <c r="J169" s="51"/>
      <c r="K169" s="41"/>
      <c r="L169" s="41"/>
      <c r="M169" s="41"/>
      <c r="N169" s="232"/>
    </row>
    <row r="170" spans="2:16" hidden="1" x14ac:dyDescent="0.2">
      <c r="B170" s="227"/>
      <c r="C170" s="32">
        <v>6</v>
      </c>
      <c r="D170" s="112">
        <v>0.3</v>
      </c>
      <c r="E170" s="112">
        <v>0.4</v>
      </c>
      <c r="F170" s="112">
        <v>1.1000000000000001</v>
      </c>
      <c r="G170" s="112">
        <v>1</v>
      </c>
      <c r="H170" s="112">
        <v>-0.86</v>
      </c>
      <c r="I170" s="112">
        <v>44.7</v>
      </c>
      <c r="J170" s="133" t="s">
        <v>92</v>
      </c>
      <c r="K170" s="105" t="str">
        <f t="array" ref="K170">IF(OR(D170:I170=""),"",IF(AND(ABS(D170)&lt;=D171,ABS(E170)&lt;=E171,ABS(F170)&lt;=F171,ABS(G170)&lt;=G171,ABS(H170)&lt;=H171,ABS(I170)&lt;=I171,J170="NO"),"PASS","FAIL"))</f>
        <v>PASS</v>
      </c>
      <c r="L170" s="107"/>
      <c r="M170" s="107"/>
      <c r="N170" s="236"/>
    </row>
    <row r="171" spans="2:16" hidden="1" x14ac:dyDescent="0.2">
      <c r="B171" s="227"/>
      <c r="C171" s="79" t="s">
        <v>235</v>
      </c>
      <c r="D171" s="121">
        <v>3</v>
      </c>
      <c r="E171" s="121">
        <v>3</v>
      </c>
      <c r="F171" s="121">
        <v>3</v>
      </c>
      <c r="G171" s="121">
        <v>3</v>
      </c>
      <c r="H171" s="121">
        <v>5</v>
      </c>
      <c r="I171" s="121">
        <v>300</v>
      </c>
      <c r="J171" s="61"/>
      <c r="K171" s="7"/>
      <c r="L171" s="7"/>
      <c r="M171" s="7"/>
      <c r="N171" s="228"/>
    </row>
    <row r="172" spans="2:16" hidden="1" x14ac:dyDescent="0.2">
      <c r="B172" s="227"/>
      <c r="C172" s="79"/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228"/>
    </row>
    <row r="173" spans="2:16" hidden="1" x14ac:dyDescent="0.2">
      <c r="B173" s="227"/>
      <c r="C173" s="7" t="s">
        <v>93</v>
      </c>
      <c r="D173" s="7"/>
      <c r="E173" s="7"/>
      <c r="F173" s="308"/>
      <c r="G173" s="309"/>
      <c r="H173" s="309"/>
      <c r="I173" s="309"/>
      <c r="J173" s="309"/>
      <c r="K173" s="309"/>
      <c r="L173" s="310"/>
      <c r="M173" s="7"/>
      <c r="N173" s="228"/>
      <c r="P173" s="96"/>
    </row>
    <row r="174" spans="2:16" hidden="1" x14ac:dyDescent="0.2">
      <c r="B174" s="227"/>
      <c r="C174" s="7"/>
      <c r="D174" s="7"/>
      <c r="E174" s="7"/>
      <c r="F174" s="311"/>
      <c r="G174" s="312"/>
      <c r="H174" s="312"/>
      <c r="I174" s="312"/>
      <c r="J174" s="312"/>
      <c r="K174" s="312"/>
      <c r="L174" s="313"/>
      <c r="M174" s="7"/>
      <c r="N174" s="228"/>
    </row>
    <row r="175" spans="2:16" hidden="1" x14ac:dyDescent="0.2">
      <c r="B175" s="227"/>
      <c r="C175" s="7"/>
      <c r="D175" s="7"/>
      <c r="E175" s="7"/>
      <c r="F175" s="7"/>
      <c r="G175" s="7"/>
      <c r="H175" s="7"/>
      <c r="I175" s="7"/>
      <c r="J175" s="7"/>
      <c r="K175" s="7"/>
      <c r="L175" s="7"/>
      <c r="M175" s="7"/>
      <c r="N175" s="228"/>
    </row>
    <row r="176" spans="2:16" hidden="1" x14ac:dyDescent="0.2">
      <c r="B176" s="227"/>
      <c r="C176" s="108" t="s">
        <v>398</v>
      </c>
      <c r="D176" s="7"/>
      <c r="E176" s="7"/>
      <c r="F176" s="7"/>
      <c r="G176" s="161" t="str">
        <f>IF($H$12="VIOAK_TB6","7B_EPI_HD.dcm","7B_EPI.dcm")</f>
        <v>7B_EPI.dcm</v>
      </c>
      <c r="H176" s="7"/>
      <c r="I176" s="7"/>
      <c r="J176" s="7"/>
      <c r="K176" s="7"/>
      <c r="L176" s="7"/>
      <c r="M176" s="7"/>
      <c r="N176" s="228"/>
    </row>
    <row r="177" spans="2:14" hidden="1" x14ac:dyDescent="0.2">
      <c r="B177" s="227"/>
      <c r="C177" s="79" t="s">
        <v>174</v>
      </c>
      <c r="D177" s="7"/>
      <c r="E177" s="7"/>
      <c r="F177" s="7"/>
      <c r="G177" s="7"/>
      <c r="H177" s="7"/>
      <c r="I177" s="7"/>
      <c r="J177" s="7"/>
      <c r="K177" s="7"/>
      <c r="L177" s="7"/>
      <c r="M177" s="7"/>
      <c r="N177" s="228"/>
    </row>
    <row r="178" spans="2:14" hidden="1" x14ac:dyDescent="0.2">
      <c r="B178" s="227"/>
      <c r="C178" s="79"/>
      <c r="D178" s="7"/>
      <c r="E178" s="7"/>
      <c r="F178" s="7"/>
      <c r="G178" s="7"/>
      <c r="H178" s="7"/>
      <c r="I178" s="7"/>
      <c r="J178" s="7"/>
      <c r="K178" s="7"/>
      <c r="L178" s="7"/>
      <c r="M178" s="7"/>
      <c r="N178" s="228"/>
    </row>
    <row r="179" spans="2:14" hidden="1" x14ac:dyDescent="0.2">
      <c r="B179" s="227"/>
      <c r="C179" s="26" t="s">
        <v>38</v>
      </c>
      <c r="D179" s="26" t="s">
        <v>78</v>
      </c>
      <c r="E179" s="26" t="s">
        <v>79</v>
      </c>
      <c r="F179" s="26" t="s">
        <v>94</v>
      </c>
      <c r="G179" s="62"/>
      <c r="H179" s="7"/>
      <c r="I179" s="7"/>
      <c r="J179" s="7"/>
      <c r="K179" s="7"/>
      <c r="L179" s="7"/>
      <c r="M179" s="7"/>
      <c r="N179" s="228"/>
    </row>
    <row r="180" spans="2:14" hidden="1" x14ac:dyDescent="0.2">
      <c r="B180" s="227"/>
      <c r="C180" s="29" t="s">
        <v>45</v>
      </c>
      <c r="D180" s="29" t="s">
        <v>58</v>
      </c>
      <c r="E180" s="29" t="s">
        <v>58</v>
      </c>
      <c r="F180" s="29" t="s">
        <v>58</v>
      </c>
      <c r="G180" s="63"/>
      <c r="H180" s="7"/>
      <c r="I180" s="7"/>
      <c r="J180" s="7"/>
      <c r="K180" s="7"/>
      <c r="L180" s="7"/>
      <c r="M180" s="7"/>
      <c r="N180" s="228"/>
    </row>
    <row r="181" spans="2:14" hidden="1" x14ac:dyDescent="0.2">
      <c r="B181" s="227"/>
      <c r="C181" s="32">
        <v>6</v>
      </c>
      <c r="D181" s="35">
        <v>14</v>
      </c>
      <c r="E181" s="35">
        <v>0.5</v>
      </c>
      <c r="F181" s="35">
        <v>38</v>
      </c>
      <c r="G181" s="7"/>
      <c r="H181" s="7"/>
      <c r="I181" s="7"/>
      <c r="J181" s="7"/>
      <c r="K181" s="7"/>
      <c r="L181" s="7"/>
      <c r="M181" s="7"/>
      <c r="N181" s="228"/>
    </row>
    <row r="182" spans="2:14" hidden="1" x14ac:dyDescent="0.2">
      <c r="B182" s="227"/>
      <c r="C182" s="32">
        <v>6</v>
      </c>
      <c r="D182" s="35">
        <v>0.5</v>
      </c>
      <c r="E182" s="35">
        <v>14</v>
      </c>
      <c r="F182" s="35">
        <v>38</v>
      </c>
      <c r="G182" s="7"/>
      <c r="H182" s="7"/>
      <c r="I182" s="7"/>
      <c r="J182" s="7"/>
      <c r="K182" s="7"/>
      <c r="L182" s="7"/>
      <c r="M182" s="7"/>
      <c r="N182" s="228"/>
    </row>
    <row r="183" spans="2:14" hidden="1" x14ac:dyDescent="0.2">
      <c r="B183" s="227"/>
      <c r="C183" s="7"/>
      <c r="D183" s="7"/>
      <c r="E183" s="7"/>
      <c r="F183" s="7"/>
      <c r="G183" s="7"/>
      <c r="H183" s="7"/>
      <c r="I183" s="7"/>
      <c r="J183" s="7"/>
      <c r="K183" s="7"/>
      <c r="L183" s="7"/>
      <c r="M183" s="7"/>
      <c r="N183" s="228"/>
    </row>
    <row r="184" spans="2:14" hidden="1" x14ac:dyDescent="0.2">
      <c r="B184" s="227"/>
      <c r="C184" s="27" t="s">
        <v>95</v>
      </c>
      <c r="D184" s="27" t="s">
        <v>66</v>
      </c>
      <c r="E184" s="27" t="s">
        <v>44</v>
      </c>
      <c r="F184" s="180"/>
      <c r="G184" s="27" t="s">
        <v>102</v>
      </c>
      <c r="H184" s="27" t="s">
        <v>44</v>
      </c>
      <c r="I184" s="64"/>
      <c r="J184" s="27" t="s">
        <v>96</v>
      </c>
      <c r="K184" s="64"/>
      <c r="L184" s="27" t="s">
        <v>101</v>
      </c>
      <c r="M184" s="7"/>
      <c r="N184" s="228"/>
    </row>
    <row r="185" spans="2:14" hidden="1" x14ac:dyDescent="0.2">
      <c r="B185" s="227"/>
      <c r="C185" s="60"/>
      <c r="D185" s="60" t="s">
        <v>99</v>
      </c>
      <c r="E185" s="60" t="s">
        <v>98</v>
      </c>
      <c r="F185" s="7"/>
      <c r="G185" s="60"/>
      <c r="H185" s="60" t="s">
        <v>100</v>
      </c>
      <c r="I185" s="65"/>
      <c r="J185" s="60"/>
      <c r="K185" s="65"/>
      <c r="L185" s="66"/>
      <c r="M185" s="7"/>
      <c r="N185" s="228"/>
    </row>
    <row r="186" spans="2:14" hidden="1" x14ac:dyDescent="0.2">
      <c r="B186" s="227"/>
      <c r="C186" s="33">
        <v>3.98</v>
      </c>
      <c r="D186" s="34">
        <v>4</v>
      </c>
      <c r="E186" s="34">
        <v>0.1</v>
      </c>
      <c r="F186" s="67" t="str">
        <f>IF(C186="","",IF(ABS(C186-D186)&lt;=E186,"PASS","FAIL"))</f>
        <v>PASS</v>
      </c>
      <c r="G186" s="59">
        <v>2.2999999999999998</v>
      </c>
      <c r="H186" s="35">
        <v>10</v>
      </c>
      <c r="I186" s="67" t="str">
        <f>IF(G186="","",IF(ABS(G186)&lt;=H186,"PASS","FAIL"))</f>
        <v>PASS</v>
      </c>
      <c r="J186" s="195" t="s">
        <v>22</v>
      </c>
      <c r="K186" s="41"/>
      <c r="L186" s="36" t="str">
        <f>IF(OR(F186="",I186="",J186=""),"",IF(AND(F186="PASS",I186="PASS",J186="PASS"),"PASS","FAIL"))</f>
        <v>PASS</v>
      </c>
      <c r="M186" s="7"/>
      <c r="N186" s="228"/>
    </row>
    <row r="187" spans="2:14" hidden="1" x14ac:dyDescent="0.2">
      <c r="B187" s="227"/>
      <c r="C187" s="7"/>
      <c r="D187" s="7"/>
      <c r="E187" s="7"/>
      <c r="F187" s="7"/>
      <c r="G187" s="7"/>
      <c r="H187" s="7"/>
      <c r="I187" s="7"/>
      <c r="J187" s="7"/>
      <c r="K187" s="7"/>
      <c r="L187" s="7"/>
      <c r="M187" s="7"/>
      <c r="N187" s="228"/>
    </row>
    <row r="188" spans="2:14" hidden="1" x14ac:dyDescent="0.2">
      <c r="B188" s="227"/>
      <c r="C188" s="7" t="s">
        <v>97</v>
      </c>
      <c r="D188" s="308"/>
      <c r="E188" s="309"/>
      <c r="F188" s="309"/>
      <c r="G188" s="309"/>
      <c r="H188" s="309"/>
      <c r="I188" s="309"/>
      <c r="J188" s="309"/>
      <c r="K188" s="309"/>
      <c r="L188" s="310"/>
      <c r="M188" s="7"/>
      <c r="N188" s="228"/>
    </row>
    <row r="189" spans="2:14" hidden="1" x14ac:dyDescent="0.2">
      <c r="B189" s="227"/>
      <c r="C189" s="7"/>
      <c r="D189" s="311"/>
      <c r="E189" s="312"/>
      <c r="F189" s="312"/>
      <c r="G189" s="312"/>
      <c r="H189" s="312"/>
      <c r="I189" s="312"/>
      <c r="J189" s="312"/>
      <c r="K189" s="312"/>
      <c r="L189" s="313"/>
      <c r="M189" s="7"/>
      <c r="N189" s="228"/>
    </row>
    <row r="190" spans="2:14" hidden="1" x14ac:dyDescent="0.2">
      <c r="B190" s="227"/>
      <c r="C190" s="79" t="s">
        <v>185</v>
      </c>
      <c r="D190" s="7"/>
      <c r="E190" s="7"/>
      <c r="F190" s="7"/>
      <c r="G190" s="7"/>
      <c r="H190" s="7"/>
      <c r="I190" s="7"/>
      <c r="J190" s="7"/>
      <c r="K190" s="7"/>
      <c r="L190" s="7"/>
      <c r="M190" s="7"/>
      <c r="N190" s="228"/>
    </row>
    <row r="191" spans="2:14" ht="15" hidden="1" x14ac:dyDescent="0.2">
      <c r="B191" s="227"/>
      <c r="C191" s="240"/>
      <c r="D191" s="7"/>
      <c r="E191" s="7"/>
      <c r="F191" s="7"/>
      <c r="G191" s="7"/>
      <c r="H191" s="7"/>
      <c r="I191" s="7"/>
      <c r="J191" s="7"/>
      <c r="K191" s="7"/>
      <c r="L191" s="7"/>
      <c r="M191" s="7"/>
      <c r="N191" s="228"/>
    </row>
    <row r="192" spans="2:14" hidden="1" x14ac:dyDescent="0.2">
      <c r="B192" s="227"/>
      <c r="C192" s="108" t="s">
        <v>399</v>
      </c>
      <c r="D192" s="7"/>
      <c r="E192" s="7"/>
      <c r="F192" s="7"/>
      <c r="G192" s="161" t="str">
        <f>IF($H$12="VIOAK_TB6","7B_EPI_HD.dcm","7B_EPI.dcm")</f>
        <v>7B_EPI.dcm</v>
      </c>
      <c r="H192" s="7"/>
      <c r="I192" s="7"/>
      <c r="J192" s="7"/>
      <c r="K192" s="7"/>
      <c r="L192" s="7"/>
      <c r="M192" s="7"/>
      <c r="N192" s="228"/>
    </row>
    <row r="193" spans="2:17" hidden="1" x14ac:dyDescent="0.2">
      <c r="B193" s="227"/>
      <c r="C193" s="79" t="s">
        <v>180</v>
      </c>
      <c r="D193" s="7"/>
      <c r="E193" s="7"/>
      <c r="F193" s="7"/>
      <c r="G193" s="7"/>
      <c r="H193" s="7"/>
      <c r="I193" s="7"/>
      <c r="J193" s="7"/>
      <c r="K193" s="7"/>
      <c r="L193" s="7"/>
      <c r="M193" s="7"/>
      <c r="N193" s="228"/>
    </row>
    <row r="194" spans="2:17" hidden="1" x14ac:dyDescent="0.2">
      <c r="B194" s="227"/>
      <c r="C194" s="79" t="s">
        <v>506</v>
      </c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228"/>
    </row>
    <row r="195" spans="2:17" hidden="1" x14ac:dyDescent="0.2">
      <c r="B195" s="227"/>
      <c r="C195" s="7"/>
      <c r="D195" s="7"/>
      <c r="E195" s="7"/>
      <c r="F195" s="7"/>
      <c r="G195" s="7"/>
      <c r="H195" s="7"/>
      <c r="I195" s="7"/>
      <c r="J195" s="7"/>
      <c r="K195" s="7"/>
      <c r="L195" s="7"/>
      <c r="M195" s="7"/>
      <c r="N195" s="228"/>
    </row>
    <row r="196" spans="2:17" hidden="1" x14ac:dyDescent="0.2">
      <c r="B196" s="227"/>
      <c r="C196" s="26" t="s">
        <v>38</v>
      </c>
      <c r="D196" s="26" t="s">
        <v>44</v>
      </c>
      <c r="E196" s="7"/>
      <c r="F196" s="7"/>
      <c r="G196" s="7"/>
      <c r="H196" s="7"/>
      <c r="I196" s="7"/>
      <c r="J196" s="7"/>
      <c r="K196" s="7"/>
      <c r="L196" s="7"/>
      <c r="M196" s="7"/>
      <c r="N196" s="228"/>
    </row>
    <row r="197" spans="2:17" hidden="1" x14ac:dyDescent="0.2">
      <c r="B197" s="227"/>
      <c r="C197" s="29" t="s">
        <v>45</v>
      </c>
      <c r="D197" s="104" t="s">
        <v>497</v>
      </c>
      <c r="E197" s="7"/>
      <c r="F197" s="7"/>
      <c r="G197" s="7"/>
      <c r="H197" s="7"/>
      <c r="I197" s="7"/>
      <c r="J197" s="7"/>
      <c r="K197" s="7"/>
      <c r="L197" s="7"/>
      <c r="M197" s="7"/>
      <c r="N197" s="228"/>
      <c r="Q197" s="273"/>
    </row>
    <row r="198" spans="2:17" hidden="1" x14ac:dyDescent="0.2">
      <c r="B198" s="227"/>
      <c r="C198" s="32">
        <v>6</v>
      </c>
      <c r="D198" s="133" t="s">
        <v>22</v>
      </c>
      <c r="E198" s="28"/>
      <c r="F198" s="7"/>
      <c r="G198" s="7"/>
      <c r="H198" s="7"/>
      <c r="I198" s="7"/>
      <c r="J198" s="7"/>
      <c r="K198" s="7"/>
      <c r="L198" s="7"/>
      <c r="M198" s="7"/>
      <c r="N198" s="228"/>
    </row>
    <row r="199" spans="2:17" hidden="1" x14ac:dyDescent="0.2">
      <c r="B199" s="227"/>
      <c r="C199" s="7"/>
      <c r="D199" s="61"/>
      <c r="E199" s="7"/>
      <c r="F199" s="7"/>
      <c r="G199" s="7"/>
      <c r="H199" s="7"/>
      <c r="I199" s="7"/>
      <c r="J199" s="7"/>
      <c r="K199" s="7"/>
      <c r="L199" s="7"/>
      <c r="M199" s="7"/>
      <c r="N199" s="228"/>
      <c r="P199" s="96"/>
    </row>
    <row r="200" spans="2:17" hidden="1" x14ac:dyDescent="0.2">
      <c r="B200" s="227"/>
      <c r="C200" s="108" t="s">
        <v>400</v>
      </c>
      <c r="D200" s="7"/>
      <c r="E200" s="7"/>
      <c r="F200" s="7"/>
      <c r="G200" s="161" t="str">
        <f>IF($H$12="VIOAK_TB6","7B_EPI_HD.dcm","7B_EPI.dcm")</f>
        <v>7B_EPI.dcm</v>
      </c>
      <c r="H200" s="7"/>
      <c r="I200" s="7"/>
      <c r="J200" s="7"/>
      <c r="K200" s="7"/>
      <c r="L200" s="7"/>
      <c r="M200" s="7"/>
      <c r="N200" s="228"/>
      <c r="P200" s="96"/>
    </row>
    <row r="201" spans="2:17" hidden="1" x14ac:dyDescent="0.2">
      <c r="B201" s="227"/>
      <c r="C201" s="79" t="s">
        <v>180</v>
      </c>
      <c r="D201" s="7"/>
      <c r="E201" s="7"/>
      <c r="F201" s="7"/>
      <c r="G201" s="7"/>
      <c r="H201" s="7"/>
      <c r="I201" s="7"/>
      <c r="J201" s="7"/>
      <c r="K201" s="7"/>
      <c r="L201" s="7"/>
      <c r="M201" s="7"/>
      <c r="N201" s="228"/>
      <c r="P201" s="96"/>
    </row>
    <row r="202" spans="2:17" hidden="1" x14ac:dyDescent="0.2">
      <c r="B202" s="227"/>
      <c r="C202" s="79" t="s">
        <v>506</v>
      </c>
      <c r="D202" s="7"/>
      <c r="E202" s="7"/>
      <c r="F202" s="7"/>
      <c r="G202" s="7"/>
      <c r="H202" s="7"/>
      <c r="I202" s="7"/>
      <c r="J202" s="7"/>
      <c r="K202" s="7"/>
      <c r="L202" s="7"/>
      <c r="M202" s="7"/>
      <c r="N202" s="228"/>
      <c r="P202" s="96"/>
    </row>
    <row r="203" spans="2:17" hidden="1" x14ac:dyDescent="0.2">
      <c r="B203" s="227"/>
      <c r="C203" s="7"/>
      <c r="D203" s="7"/>
      <c r="E203" s="7"/>
      <c r="F203" s="7"/>
      <c r="G203" s="7"/>
      <c r="H203" s="7"/>
      <c r="I203" s="7"/>
      <c r="J203" s="7"/>
      <c r="K203" s="7"/>
      <c r="L203" s="7"/>
      <c r="M203" s="7"/>
      <c r="N203" s="228"/>
      <c r="P203" s="96"/>
    </row>
    <row r="204" spans="2:17" hidden="1" x14ac:dyDescent="0.2">
      <c r="B204" s="227"/>
      <c r="C204" s="26" t="s">
        <v>38</v>
      </c>
      <c r="D204" s="26" t="s">
        <v>44</v>
      </c>
      <c r="E204" s="7"/>
      <c r="F204" s="7"/>
      <c r="G204" s="7"/>
      <c r="H204" s="7"/>
      <c r="I204" s="7"/>
      <c r="J204" s="7"/>
      <c r="K204" s="7"/>
      <c r="L204" s="7"/>
      <c r="M204" s="7"/>
      <c r="N204" s="228"/>
      <c r="P204" s="96"/>
    </row>
    <row r="205" spans="2:17" hidden="1" x14ac:dyDescent="0.2">
      <c r="B205" s="227"/>
      <c r="C205" s="29" t="s">
        <v>45</v>
      </c>
      <c r="D205" s="104" t="s">
        <v>497</v>
      </c>
      <c r="E205" s="7"/>
      <c r="F205" s="7"/>
      <c r="G205" s="7"/>
      <c r="H205" s="7"/>
      <c r="I205" s="7"/>
      <c r="J205" s="7"/>
      <c r="K205" s="7"/>
      <c r="L205" s="7"/>
      <c r="M205" s="7"/>
      <c r="N205" s="228"/>
      <c r="P205" s="96"/>
      <c r="Q205" s="273"/>
    </row>
    <row r="206" spans="2:17" hidden="1" x14ac:dyDescent="0.2">
      <c r="B206" s="227"/>
      <c r="C206" s="32">
        <v>6</v>
      </c>
      <c r="D206" s="133" t="s">
        <v>22</v>
      </c>
      <c r="E206" s="28"/>
      <c r="F206" s="7"/>
      <c r="G206" s="7"/>
      <c r="H206" s="7"/>
      <c r="I206" s="7"/>
      <c r="J206" s="7"/>
      <c r="K206" s="7"/>
      <c r="L206" s="7"/>
      <c r="M206" s="7"/>
      <c r="N206" s="228"/>
    </row>
    <row r="207" spans="2:17" hidden="1" x14ac:dyDescent="0.2">
      <c r="B207" s="227"/>
      <c r="C207" s="7"/>
      <c r="D207" s="61"/>
      <c r="E207" s="7"/>
      <c r="F207" s="7"/>
      <c r="G207" s="7"/>
      <c r="H207" s="7"/>
      <c r="I207" s="7"/>
      <c r="J207" s="7"/>
      <c r="K207" s="7"/>
      <c r="L207" s="7"/>
      <c r="M207" s="7"/>
      <c r="N207" s="228"/>
    </row>
    <row r="208" spans="2:17" hidden="1" x14ac:dyDescent="0.2">
      <c r="B208" s="227"/>
      <c r="C208" s="108" t="s">
        <v>401</v>
      </c>
      <c r="D208" s="7"/>
      <c r="E208" s="7"/>
      <c r="F208" s="7"/>
      <c r="G208" s="161" t="str">
        <f>IF($H$12="VIOAK_TB6","7B_EPI_HD.dcm","7B_EPI.dcm")</f>
        <v>7B_EPI.dcm</v>
      </c>
      <c r="H208" s="7"/>
      <c r="I208" s="7"/>
      <c r="J208" s="7"/>
      <c r="K208" s="7"/>
      <c r="L208" s="7"/>
      <c r="M208" s="7"/>
      <c r="N208" s="228"/>
    </row>
    <row r="209" spans="2:17" hidden="1" x14ac:dyDescent="0.2">
      <c r="B209" s="227"/>
      <c r="C209" s="79" t="s">
        <v>461</v>
      </c>
      <c r="D209" s="7"/>
      <c r="E209" s="7"/>
      <c r="F209" s="7"/>
      <c r="G209" s="7"/>
      <c r="H209" s="7"/>
      <c r="I209" s="7"/>
      <c r="J209" s="7"/>
      <c r="K209" s="7"/>
      <c r="L209" s="7"/>
      <c r="M209" s="7"/>
      <c r="N209" s="228"/>
    </row>
    <row r="210" spans="2:17" hidden="1" x14ac:dyDescent="0.2">
      <c r="B210" s="227"/>
      <c r="C210" s="79" t="s">
        <v>507</v>
      </c>
      <c r="D210" s="7"/>
      <c r="E210" s="7"/>
      <c r="F210" s="7"/>
      <c r="G210" s="7"/>
      <c r="H210" s="7"/>
      <c r="I210" s="7"/>
      <c r="J210" s="7"/>
      <c r="K210" s="7"/>
      <c r="L210" s="7"/>
      <c r="M210" s="7"/>
      <c r="N210" s="228"/>
      <c r="Q210" s="273"/>
    </row>
    <row r="211" spans="2:17" hidden="1" x14ac:dyDescent="0.2">
      <c r="B211" s="227"/>
      <c r="C211" s="7"/>
      <c r="D211" s="7"/>
      <c r="E211" s="7"/>
      <c r="F211" s="7"/>
      <c r="G211" s="7"/>
      <c r="H211" s="7"/>
      <c r="I211" s="7"/>
      <c r="J211" s="7"/>
      <c r="K211" s="7"/>
      <c r="L211" s="7"/>
      <c r="M211" s="7"/>
      <c r="N211" s="228"/>
    </row>
    <row r="212" spans="2:17" hidden="1" x14ac:dyDescent="0.2">
      <c r="B212" s="227"/>
      <c r="C212" s="47" t="s">
        <v>38</v>
      </c>
      <c r="D212" s="47" t="s">
        <v>273</v>
      </c>
      <c r="E212" s="47" t="s">
        <v>352</v>
      </c>
      <c r="F212" s="47" t="s">
        <v>351</v>
      </c>
      <c r="G212" s="47" t="s">
        <v>353</v>
      </c>
      <c r="H212" s="47" t="s">
        <v>274</v>
      </c>
      <c r="I212" s="47" t="s">
        <v>354</v>
      </c>
      <c r="J212" s="47" t="s">
        <v>44</v>
      </c>
      <c r="K212" s="7"/>
      <c r="L212" s="79" t="s">
        <v>462</v>
      </c>
      <c r="M212" s="7"/>
      <c r="N212" s="228"/>
    </row>
    <row r="213" spans="2:17" hidden="1" x14ac:dyDescent="0.2">
      <c r="B213" s="227"/>
      <c r="C213" s="29" t="s">
        <v>45</v>
      </c>
      <c r="D213" s="58" t="s">
        <v>350</v>
      </c>
      <c r="E213" s="104" t="s">
        <v>350</v>
      </c>
      <c r="F213" s="58" t="s">
        <v>350</v>
      </c>
      <c r="G213" s="104" t="s">
        <v>350</v>
      </c>
      <c r="H213" s="58"/>
      <c r="I213" s="104"/>
      <c r="J213" s="177">
        <v>0.2</v>
      </c>
      <c r="K213" s="7"/>
      <c r="L213" s="334" t="s">
        <v>530</v>
      </c>
      <c r="M213" s="335"/>
      <c r="N213" s="228"/>
    </row>
    <row r="214" spans="2:17" hidden="1" x14ac:dyDescent="0.2">
      <c r="B214" s="227"/>
      <c r="C214" s="32">
        <v>6</v>
      </c>
      <c r="D214" s="145">
        <v>0.76700000000000002</v>
      </c>
      <c r="E214" s="44">
        <f>Data!AA52</f>
        <v>0.75</v>
      </c>
      <c r="F214" s="164">
        <v>1.0489999999999999</v>
      </c>
      <c r="G214" s="44">
        <f>Data!AB52</f>
        <v>1</v>
      </c>
      <c r="H214" s="112">
        <v>693</v>
      </c>
      <c r="I214" s="35">
        <f>Data!AC52</f>
        <v>750</v>
      </c>
      <c r="J214" s="105" t="str">
        <f>IF(OR(D214="",F214="",H214=""),"",IF(AND(D214&gt;=0.8*E214,F214&gt;=0.8*G214,H214&gt;=0.8*I214),"PASS","FAIL"))</f>
        <v>PASS</v>
      </c>
      <c r="K214" s="7"/>
      <c r="L214" s="334" t="s">
        <v>529</v>
      </c>
      <c r="M214" s="335"/>
      <c r="N214" s="228"/>
    </row>
    <row r="215" spans="2:17" hidden="1" x14ac:dyDescent="0.2">
      <c r="B215" s="227"/>
      <c r="C215" s="7"/>
      <c r="D215" s="61"/>
      <c r="E215" s="61"/>
      <c r="F215" s="7"/>
      <c r="G215" s="61"/>
      <c r="H215" s="61"/>
      <c r="I215" s="7"/>
      <c r="J215" s="7"/>
      <c r="K215" s="7"/>
      <c r="L215" s="7"/>
      <c r="M215" s="7"/>
      <c r="N215" s="228"/>
    </row>
    <row r="216" spans="2:17" hidden="1" x14ac:dyDescent="0.2">
      <c r="B216" s="230"/>
      <c r="C216" s="108" t="s">
        <v>402</v>
      </c>
      <c r="D216" s="80"/>
      <c r="E216" s="106"/>
      <c r="F216" s="107"/>
      <c r="G216" s="161" t="str">
        <f>IF($H$12="VIOAK_TB6","8RA_MechHD.dcm","8RA_Mech.dcm")</f>
        <v>8RA_Mech.dcm</v>
      </c>
      <c r="H216" s="80"/>
      <c r="I216" s="80"/>
      <c r="J216" s="80"/>
      <c r="K216" s="80"/>
      <c r="L216" s="80"/>
      <c r="M216" s="80"/>
      <c r="N216" s="228"/>
    </row>
    <row r="217" spans="2:17" hidden="1" x14ac:dyDescent="0.2">
      <c r="B217" s="230"/>
      <c r="C217" s="79" t="s">
        <v>207</v>
      </c>
      <c r="D217" s="80"/>
      <c r="E217" s="106"/>
      <c r="F217" s="107"/>
      <c r="G217" s="80"/>
      <c r="H217" s="80"/>
      <c r="I217" s="80"/>
      <c r="J217" s="80"/>
      <c r="K217" s="80"/>
      <c r="L217" s="80"/>
      <c r="M217" s="80"/>
      <c r="N217" s="228"/>
      <c r="O217" s="4"/>
    </row>
    <row r="218" spans="2:17" hidden="1" x14ac:dyDescent="0.2">
      <c r="B218" s="230"/>
      <c r="C218" s="79" t="s">
        <v>208</v>
      </c>
      <c r="D218" s="80"/>
      <c r="E218" s="106"/>
      <c r="F218" s="107"/>
      <c r="G218" s="80"/>
      <c r="H218" s="80"/>
      <c r="I218" s="80"/>
      <c r="J218" s="80"/>
      <c r="K218" s="80"/>
      <c r="L218" s="80"/>
      <c r="M218" s="80"/>
      <c r="N218" s="228"/>
      <c r="O218" s="4"/>
    </row>
    <row r="219" spans="2:17" hidden="1" x14ac:dyDescent="0.2">
      <c r="B219" s="230"/>
      <c r="C219" s="79" t="s">
        <v>365</v>
      </c>
      <c r="D219" s="80"/>
      <c r="E219" s="106"/>
      <c r="F219" s="107"/>
      <c r="G219" s="80"/>
      <c r="H219" s="80"/>
      <c r="I219" s="80"/>
      <c r="J219" s="80"/>
      <c r="K219" s="80"/>
      <c r="L219" s="80"/>
      <c r="M219" s="80"/>
      <c r="N219" s="228"/>
      <c r="O219" s="4"/>
    </row>
    <row r="220" spans="2:17" hidden="1" x14ac:dyDescent="0.2">
      <c r="B220" s="230"/>
      <c r="C220" s="79"/>
      <c r="D220" s="80"/>
      <c r="E220" s="106"/>
      <c r="F220" s="107"/>
      <c r="G220" s="80"/>
      <c r="H220" s="80"/>
      <c r="I220" s="80"/>
      <c r="J220" s="80"/>
      <c r="K220" s="80"/>
      <c r="L220" s="80"/>
      <c r="M220" s="80"/>
      <c r="N220" s="228"/>
      <c r="O220" s="4"/>
    </row>
    <row r="221" spans="2:17" hidden="1" x14ac:dyDescent="0.2">
      <c r="B221" s="230"/>
      <c r="C221" s="108" t="s">
        <v>222</v>
      </c>
      <c r="D221" s="80"/>
      <c r="E221" s="106"/>
      <c r="F221" s="107"/>
      <c r="G221" s="80"/>
      <c r="H221" s="80"/>
      <c r="I221" s="80"/>
      <c r="J221" s="80"/>
      <c r="K221" s="80"/>
      <c r="L221" s="80"/>
      <c r="M221" s="80"/>
      <c r="N221" s="228"/>
      <c r="O221" s="4"/>
    </row>
    <row r="222" spans="2:17" hidden="1" x14ac:dyDescent="0.2">
      <c r="B222" s="230"/>
      <c r="C222" s="80"/>
      <c r="D222" s="185" t="s">
        <v>221</v>
      </c>
      <c r="E222" s="174">
        <v>0</v>
      </c>
      <c r="F222" s="131">
        <v>90</v>
      </c>
      <c r="G222" s="105">
        <v>270</v>
      </c>
      <c r="H222" s="174">
        <v>180</v>
      </c>
      <c r="I222" s="174" t="s">
        <v>220</v>
      </c>
      <c r="J222" s="241" t="s">
        <v>52</v>
      </c>
      <c r="K222" s="241" t="s">
        <v>44</v>
      </c>
      <c r="L222" s="80"/>
      <c r="M222" s="80"/>
      <c r="N222" s="228"/>
      <c r="O222" s="4"/>
    </row>
    <row r="223" spans="2:17" hidden="1" x14ac:dyDescent="0.2">
      <c r="B223" s="230"/>
      <c r="C223" s="80"/>
      <c r="D223" s="185" t="s">
        <v>282</v>
      </c>
      <c r="E223" s="112">
        <v>0.4</v>
      </c>
      <c r="F223" s="112">
        <v>0.8</v>
      </c>
      <c r="G223" s="112">
        <v>0.4</v>
      </c>
      <c r="H223" s="112">
        <v>0.5</v>
      </c>
      <c r="I223" s="112">
        <v>0.7</v>
      </c>
      <c r="J223" s="242">
        <v>0</v>
      </c>
      <c r="K223" s="242">
        <v>1</v>
      </c>
      <c r="L223" s="80"/>
      <c r="M223" s="80"/>
      <c r="N223" s="228"/>
      <c r="O223" s="4"/>
    </row>
    <row r="224" spans="2:17" hidden="1" x14ac:dyDescent="0.2">
      <c r="B224" s="230"/>
      <c r="C224" s="80"/>
      <c r="D224" s="185" t="s">
        <v>283</v>
      </c>
      <c r="E224" s="112">
        <v>0.8</v>
      </c>
      <c r="F224" s="112">
        <v>0.5</v>
      </c>
      <c r="G224" s="112">
        <v>0.4</v>
      </c>
      <c r="H224" s="112">
        <v>0</v>
      </c>
      <c r="I224" s="112">
        <v>0.7</v>
      </c>
      <c r="J224" s="242">
        <v>0</v>
      </c>
      <c r="K224" s="242">
        <v>1</v>
      </c>
      <c r="L224" s="80"/>
      <c r="M224" s="80"/>
      <c r="N224" s="228"/>
      <c r="O224" s="4"/>
    </row>
    <row r="225" spans="2:15" hidden="1" x14ac:dyDescent="0.2">
      <c r="B225" s="230"/>
      <c r="C225" s="80"/>
      <c r="D225" s="185" t="s">
        <v>230</v>
      </c>
      <c r="E225" s="112">
        <v>15.1</v>
      </c>
      <c r="F225" s="112">
        <v>14.9</v>
      </c>
      <c r="G225" s="112">
        <v>14.9</v>
      </c>
      <c r="H225" s="112">
        <v>15</v>
      </c>
      <c r="I225" s="112">
        <v>14.7</v>
      </c>
      <c r="J225" s="242">
        <v>15</v>
      </c>
      <c r="K225" s="242">
        <v>1</v>
      </c>
      <c r="L225" s="80"/>
      <c r="M225" s="80"/>
      <c r="N225" s="228"/>
      <c r="O225" s="4"/>
    </row>
    <row r="226" spans="2:15" hidden="1" x14ac:dyDescent="0.2">
      <c r="B226" s="230"/>
      <c r="C226" s="80"/>
      <c r="D226" s="185" t="s">
        <v>231</v>
      </c>
      <c r="E226" s="112" t="s">
        <v>22</v>
      </c>
      <c r="F226" s="112" t="s">
        <v>22</v>
      </c>
      <c r="G226" s="112" t="s">
        <v>22</v>
      </c>
      <c r="H226" s="112" t="s">
        <v>22</v>
      </c>
      <c r="I226" s="112" t="s">
        <v>22</v>
      </c>
      <c r="J226" s="220" t="s">
        <v>232</v>
      </c>
      <c r="K226" s="220" t="s">
        <v>233</v>
      </c>
      <c r="L226" s="80"/>
      <c r="M226" s="80"/>
      <c r="N226" s="228"/>
      <c r="O226" s="4"/>
    </row>
    <row r="227" spans="2:15" hidden="1" x14ac:dyDescent="0.2">
      <c r="B227" s="230"/>
      <c r="C227" s="1"/>
      <c r="D227" s="185" t="s">
        <v>234</v>
      </c>
      <c r="E227" s="131" t="str">
        <f t="array" ref="E227">IF(OR(E223:E226=""),"",IF(AND(E226="Pass",ABS(E225-$J$225)&lt;=$K$225,ABS(E223)&lt;=$K$223,ABS(E224)&lt;=$K$224),"PASS","FAIL"))</f>
        <v>PASS</v>
      </c>
      <c r="F227" s="131" t="str">
        <f t="array" ref="F227">IF(OR(F223:F226=""),"",IF(AND(F226="Pass",ABS(F225-$J$225)&lt;=$K$225,ABS(F223)&lt;=$K$223,ABS(F224)&lt;=$K$224),"PASS","FAIL"))</f>
        <v>PASS</v>
      </c>
      <c r="G227" s="131" t="str">
        <f t="array" ref="G227">IF(OR(G223:G226=""),"",IF(AND(G226="Pass",ABS(G225-$J$225)&lt;=$K$225,ABS(G223)&lt;=$K$223,ABS(G224)&lt;=$K$224),"PASS","FAIL"))</f>
        <v>PASS</v>
      </c>
      <c r="H227" s="131" t="str">
        <f t="array" ref="H227">IF(OR(H223:H226=""),"",IF(AND(H226="Pass",ABS(H225-$J$225)&lt;=$K$225,ABS(H223)&lt;=$K$223,ABS(H224)&lt;=$K$224),"PASS","FAIL"))</f>
        <v>PASS</v>
      </c>
      <c r="I227" s="131" t="str">
        <f t="array" ref="I227">IF(OR(I223:I226=""),"",IF(AND(I226="Pass",ABS(I225-$J$225)&lt;=$K$225,ABS(I223)&lt;=$K$223,ABS(I224)&lt;=$K$224),"PASS","FAIL"))</f>
        <v>PASS</v>
      </c>
      <c r="J227" s="220"/>
      <c r="K227" s="80"/>
      <c r="L227" s="80"/>
      <c r="M227" s="80"/>
      <c r="N227" s="228"/>
      <c r="O227" s="4"/>
    </row>
    <row r="228" spans="2:15" hidden="1" x14ac:dyDescent="0.2">
      <c r="B228" s="230"/>
      <c r="C228" s="108"/>
      <c r="D228" s="80"/>
      <c r="E228" s="80"/>
      <c r="F228" s="107"/>
      <c r="G228" s="80"/>
      <c r="H228" s="80"/>
      <c r="I228" s="80"/>
      <c r="J228" s="80"/>
      <c r="K228" s="80"/>
      <c r="L228" s="80"/>
      <c r="M228" s="80"/>
      <c r="N228" s="228"/>
      <c r="O228" s="4"/>
    </row>
    <row r="229" spans="2:15" ht="19.5" hidden="1" x14ac:dyDescent="0.35">
      <c r="B229" s="230"/>
      <c r="C229" s="108"/>
      <c r="D229" s="80"/>
      <c r="E229" s="243" t="s">
        <v>360</v>
      </c>
      <c r="F229" s="83" t="s">
        <v>361</v>
      </c>
      <c r="G229" s="80"/>
      <c r="H229" s="80"/>
      <c r="I229" s="80"/>
      <c r="J229" s="80"/>
      <c r="K229" s="80"/>
      <c r="L229" s="80"/>
      <c r="M229" s="80"/>
      <c r="N229" s="228"/>
      <c r="O229" s="4"/>
    </row>
    <row r="230" spans="2:15" hidden="1" x14ac:dyDescent="0.2">
      <c r="B230" s="230"/>
      <c r="C230" s="80"/>
      <c r="D230" s="244" t="s">
        <v>362</v>
      </c>
      <c r="E230" s="112">
        <v>-2</v>
      </c>
      <c r="F230" s="175">
        <v>4.5</v>
      </c>
      <c r="G230" s="174" t="str">
        <f>IF(E230="","",IF(ABS(E230)&lt;=F230,"PASS","FAIL"))</f>
        <v>PASS</v>
      </c>
      <c r="H230" s="80"/>
      <c r="I230" s="80"/>
      <c r="J230" s="80"/>
      <c r="K230" s="80"/>
      <c r="L230" s="80"/>
      <c r="M230" s="80"/>
      <c r="N230" s="228"/>
      <c r="O230" s="4"/>
    </row>
    <row r="231" spans="2:15" hidden="1" x14ac:dyDescent="0.2">
      <c r="B231" s="230"/>
      <c r="C231" s="80"/>
      <c r="D231" s="244" t="s">
        <v>363</v>
      </c>
      <c r="E231" s="112">
        <v>4.3</v>
      </c>
      <c r="F231" s="175">
        <v>4.5</v>
      </c>
      <c r="G231" s="174" t="str">
        <f>IF(E231="","",IF(ABS(E231)&lt;=F231,"PASS","FAIL"))</f>
        <v>PASS</v>
      </c>
      <c r="H231" s="80"/>
      <c r="I231" s="80"/>
      <c r="J231" s="80"/>
      <c r="K231" s="80"/>
      <c r="L231" s="80"/>
      <c r="M231" s="80"/>
      <c r="N231" s="228"/>
      <c r="O231" s="4"/>
    </row>
    <row r="232" spans="2:15" hidden="1" x14ac:dyDescent="0.2">
      <c r="B232" s="230"/>
      <c r="C232" s="80"/>
      <c r="D232" s="244" t="s">
        <v>364</v>
      </c>
      <c r="E232" s="112">
        <v>-2</v>
      </c>
      <c r="F232" s="175">
        <v>4.5</v>
      </c>
      <c r="G232" s="174" t="str">
        <f>IF(E232="","",IF(ABS(E232)&lt;=F232,"PASS","FAIL"))</f>
        <v>PASS</v>
      </c>
      <c r="H232" s="159"/>
      <c r="I232" s="80"/>
      <c r="J232" s="80"/>
      <c r="K232" s="80"/>
      <c r="L232" s="80"/>
      <c r="M232" s="80"/>
      <c r="N232" s="228"/>
      <c r="O232" s="4"/>
    </row>
    <row r="233" spans="2:15" hidden="1" x14ac:dyDescent="0.2">
      <c r="B233" s="230"/>
      <c r="C233" s="80"/>
      <c r="D233" s="244"/>
      <c r="E233" s="265"/>
      <c r="F233" s="265"/>
      <c r="G233" s="266"/>
      <c r="H233" s="159"/>
      <c r="I233" s="80"/>
      <c r="J233" s="80"/>
      <c r="K233" s="80"/>
      <c r="L233" s="80"/>
      <c r="M233" s="80"/>
      <c r="N233" s="228"/>
      <c r="O233" s="4"/>
    </row>
    <row r="234" spans="2:15" hidden="1" x14ac:dyDescent="0.2">
      <c r="B234" s="230"/>
      <c r="C234" s="80"/>
      <c r="D234" s="244"/>
      <c r="E234" s="265" t="s">
        <v>491</v>
      </c>
      <c r="F234" s="265" t="s">
        <v>493</v>
      </c>
      <c r="G234" s="221" t="s">
        <v>66</v>
      </c>
      <c r="H234" s="83" t="s">
        <v>361</v>
      </c>
      <c r="I234" s="80"/>
      <c r="J234" s="80"/>
      <c r="K234" s="80"/>
      <c r="L234" s="80"/>
      <c r="M234" s="80"/>
      <c r="N234" s="228"/>
      <c r="O234" s="4"/>
    </row>
    <row r="235" spans="2:15" hidden="1" x14ac:dyDescent="0.2">
      <c r="B235" s="230"/>
      <c r="C235" s="80"/>
      <c r="D235" s="244" t="s">
        <v>492</v>
      </c>
      <c r="E235" s="112">
        <v>18.399999999999999</v>
      </c>
      <c r="F235" s="112">
        <v>17.2</v>
      </c>
      <c r="G235" s="175">
        <v>18</v>
      </c>
      <c r="H235" s="152">
        <v>2</v>
      </c>
      <c r="I235" s="174" t="str">
        <f>IF(OR(E235="",F235=""),"",IF(OR(ABS(E235-G235)&gt;H235,ABS(F235-G235)&gt;H235),"FAIL","PASS"))</f>
        <v>PASS</v>
      </c>
      <c r="J235" s="267" t="s">
        <v>494</v>
      </c>
      <c r="K235" s="80"/>
      <c r="L235" s="80"/>
      <c r="M235" s="80"/>
      <c r="N235" s="228"/>
      <c r="O235" s="4"/>
    </row>
    <row r="236" spans="2:15" hidden="1" x14ac:dyDescent="0.2">
      <c r="B236" s="230"/>
      <c r="C236" s="118"/>
      <c r="D236" s="80"/>
      <c r="E236" s="1"/>
      <c r="F236" s="107"/>
      <c r="G236" s="80"/>
      <c r="H236" s="80"/>
      <c r="I236" s="80"/>
      <c r="J236" s="80"/>
      <c r="K236" s="80"/>
      <c r="L236" s="80"/>
      <c r="M236" s="80"/>
      <c r="N236" s="228"/>
      <c r="O236" s="4"/>
    </row>
    <row r="237" spans="2:15" hidden="1" x14ac:dyDescent="0.2">
      <c r="B237" s="230"/>
      <c r="C237" s="118" t="s">
        <v>97</v>
      </c>
      <c r="D237" s="308"/>
      <c r="E237" s="309"/>
      <c r="F237" s="309"/>
      <c r="G237" s="309"/>
      <c r="H237" s="309"/>
      <c r="I237" s="309"/>
      <c r="J237" s="309"/>
      <c r="K237" s="309"/>
      <c r="L237" s="310"/>
      <c r="M237" s="80"/>
      <c r="N237" s="228"/>
      <c r="O237" s="4"/>
    </row>
    <row r="238" spans="2:15" hidden="1" x14ac:dyDescent="0.2">
      <c r="B238" s="230"/>
      <c r="C238" s="118"/>
      <c r="D238" s="311"/>
      <c r="E238" s="312"/>
      <c r="F238" s="312"/>
      <c r="G238" s="312"/>
      <c r="H238" s="312"/>
      <c r="I238" s="312"/>
      <c r="J238" s="312"/>
      <c r="K238" s="312"/>
      <c r="L238" s="313"/>
      <c r="M238" s="80"/>
      <c r="N238" s="228"/>
      <c r="O238" s="4"/>
    </row>
    <row r="239" spans="2:15" hidden="1" x14ac:dyDescent="0.2">
      <c r="B239" s="230"/>
      <c r="C239" s="118"/>
      <c r="D239" s="118"/>
      <c r="E239" s="118"/>
      <c r="F239" s="118"/>
      <c r="G239" s="118"/>
      <c r="H239" s="118"/>
      <c r="I239" s="118"/>
      <c r="J239" s="118"/>
      <c r="K239" s="118"/>
      <c r="L239" s="118"/>
      <c r="M239" s="80"/>
      <c r="N239" s="228"/>
      <c r="O239" s="4"/>
    </row>
    <row r="240" spans="2:15" ht="15.75" x14ac:dyDescent="0.25">
      <c r="B240" s="230"/>
      <c r="C240" s="113" t="s">
        <v>403</v>
      </c>
      <c r="D240" s="115"/>
      <c r="E240" s="115"/>
      <c r="F240" s="115"/>
      <c r="G240" s="162"/>
      <c r="H240" s="115"/>
      <c r="I240" s="115"/>
      <c r="J240" s="197" t="s">
        <v>472</v>
      </c>
      <c r="K240" s="329" t="s">
        <v>528</v>
      </c>
      <c r="L240" s="329"/>
      <c r="M240" s="115"/>
      <c r="N240" s="239"/>
      <c r="O240" s="4"/>
    </row>
    <row r="241" spans="2:15" ht="15.75" x14ac:dyDescent="0.25">
      <c r="B241" s="230"/>
      <c r="C241" s="179"/>
      <c r="D241" s="180"/>
      <c r="E241" s="180"/>
      <c r="F241" s="180"/>
      <c r="G241" s="181"/>
      <c r="H241" s="180"/>
      <c r="I241" s="180"/>
      <c r="J241" s="180"/>
      <c r="K241" s="180"/>
      <c r="L241" s="180"/>
      <c r="M241" s="180"/>
      <c r="N241" s="239"/>
      <c r="O241" s="4"/>
    </row>
    <row r="242" spans="2:15" hidden="1" x14ac:dyDescent="0.2">
      <c r="B242" s="230"/>
      <c r="C242" s="182" t="s">
        <v>404</v>
      </c>
      <c r="D242" s="180"/>
      <c r="E242" s="180"/>
      <c r="F242" s="180"/>
      <c r="G242" s="181" t="s">
        <v>333</v>
      </c>
      <c r="H242" s="180"/>
      <c r="I242" s="180"/>
      <c r="J242" s="180"/>
      <c r="K242" s="180"/>
      <c r="L242" s="180"/>
      <c r="M242" s="180"/>
      <c r="N242" s="239"/>
      <c r="O242" s="4"/>
    </row>
    <row r="243" spans="2:15" hidden="1" x14ac:dyDescent="0.2">
      <c r="B243" s="227"/>
      <c r="C243" s="79" t="s">
        <v>392</v>
      </c>
      <c r="D243" s="79"/>
      <c r="E243" s="79"/>
      <c r="F243" s="79"/>
      <c r="G243" s="79"/>
      <c r="H243" s="79"/>
      <c r="I243" s="79"/>
      <c r="J243" s="79"/>
      <c r="K243" s="79"/>
      <c r="L243" s="79"/>
      <c r="M243" s="79"/>
      <c r="N243" s="235"/>
      <c r="O243" s="4"/>
    </row>
    <row r="244" spans="2:15" hidden="1" x14ac:dyDescent="0.2">
      <c r="B244" s="227"/>
      <c r="C244" s="79" t="s">
        <v>272</v>
      </c>
      <c r="D244" s="79"/>
      <c r="E244" s="79"/>
      <c r="F244" s="79"/>
      <c r="G244" s="79"/>
      <c r="H244" s="79"/>
      <c r="I244" s="79"/>
      <c r="J244" s="79"/>
      <c r="K244" s="79"/>
      <c r="L244" s="79"/>
      <c r="M244" s="79"/>
      <c r="N244" s="235"/>
      <c r="O244" s="4"/>
    </row>
    <row r="245" spans="2:15" hidden="1" x14ac:dyDescent="0.2">
      <c r="B245" s="227"/>
      <c r="C245" s="79" t="s">
        <v>383</v>
      </c>
      <c r="D245" s="79"/>
      <c r="E245" s="79"/>
      <c r="F245" s="79"/>
      <c r="G245" s="79"/>
      <c r="H245" s="79"/>
      <c r="I245" s="79"/>
      <c r="J245" s="79"/>
      <c r="K245" s="79"/>
      <c r="L245" s="79"/>
      <c r="M245" s="79"/>
      <c r="N245" s="235"/>
      <c r="O245" s="4"/>
    </row>
    <row r="246" spans="2:15" hidden="1" x14ac:dyDescent="0.2">
      <c r="B246" s="227"/>
      <c r="C246" s="117" t="s">
        <v>464</v>
      </c>
      <c r="D246" s="79"/>
      <c r="E246" s="79"/>
      <c r="F246" s="79"/>
      <c r="G246" s="79"/>
      <c r="H246" s="79"/>
      <c r="I246" s="79"/>
      <c r="J246" s="79"/>
      <c r="K246" s="79"/>
      <c r="L246" s="79"/>
      <c r="M246" s="79"/>
      <c r="N246" s="235"/>
      <c r="O246" s="4"/>
    </row>
    <row r="247" spans="2:15" hidden="1" x14ac:dyDescent="0.2">
      <c r="B247" s="227"/>
      <c r="C247" s="118" t="s">
        <v>391</v>
      </c>
      <c r="D247" s="79"/>
      <c r="E247" s="79"/>
      <c r="F247" s="79"/>
      <c r="G247" s="79"/>
      <c r="H247" s="79"/>
      <c r="I247" s="79"/>
      <c r="J247" s="79"/>
      <c r="K247" s="79"/>
      <c r="L247" s="79"/>
      <c r="M247" s="79"/>
      <c r="N247" s="235"/>
      <c r="O247" s="4"/>
    </row>
    <row r="248" spans="2:15" ht="15.75" hidden="1" x14ac:dyDescent="0.25">
      <c r="B248" s="227"/>
      <c r="C248" s="176"/>
      <c r="D248" s="79"/>
      <c r="E248" s="79"/>
      <c r="F248" s="79"/>
      <c r="G248" s="79"/>
      <c r="H248" s="79"/>
      <c r="I248" s="79"/>
      <c r="J248" s="79"/>
      <c r="K248" s="79"/>
      <c r="L248" s="79"/>
      <c r="M248" s="79"/>
      <c r="N248" s="235"/>
      <c r="O248" s="4"/>
    </row>
    <row r="249" spans="2:15" hidden="1" x14ac:dyDescent="0.2">
      <c r="B249" s="227"/>
      <c r="C249" s="108" t="s">
        <v>463</v>
      </c>
      <c r="D249" s="79"/>
      <c r="E249" s="79"/>
      <c r="F249" s="79"/>
      <c r="G249" s="79"/>
      <c r="H249" s="79"/>
      <c r="I249" s="79"/>
      <c r="J249" s="79"/>
      <c r="K249" s="79"/>
      <c r="L249" s="79"/>
      <c r="M249" s="79"/>
      <c r="N249" s="235"/>
      <c r="O249" s="4"/>
    </row>
    <row r="250" spans="2:15" hidden="1" x14ac:dyDescent="0.2">
      <c r="B250" s="227"/>
      <c r="C250" s="79"/>
      <c r="D250" s="79"/>
      <c r="E250" s="79"/>
      <c r="F250" s="83" t="s">
        <v>187</v>
      </c>
      <c r="G250" s="245" t="s">
        <v>190</v>
      </c>
      <c r="H250" s="83" t="s">
        <v>188</v>
      </c>
      <c r="I250" s="245" t="s">
        <v>190</v>
      </c>
      <c r="J250" s="83" t="s">
        <v>189</v>
      </c>
      <c r="K250" s="245" t="s">
        <v>190</v>
      </c>
      <c r="L250" s="221" t="s">
        <v>44</v>
      </c>
      <c r="M250" s="83" t="s">
        <v>101</v>
      </c>
      <c r="N250" s="233"/>
      <c r="O250" s="4"/>
    </row>
    <row r="251" spans="2:15" hidden="1" x14ac:dyDescent="0.2">
      <c r="B251" s="227"/>
      <c r="C251" s="1"/>
      <c r="D251" s="79"/>
      <c r="E251" s="16" t="s">
        <v>191</v>
      </c>
      <c r="F251" s="33">
        <f>9.94+0.63</f>
        <v>10.57</v>
      </c>
      <c r="G251" s="84">
        <f>IF(F251&lt;&gt;"",F251-F252,"")</f>
        <v>7.0000000000000284E-2</v>
      </c>
      <c r="H251" s="33">
        <f>82.13+0.67</f>
        <v>82.8</v>
      </c>
      <c r="I251" s="84">
        <f>IF(H251&lt;&gt;"",H251-H252,"")</f>
        <v>9.9999999999994316E-2</v>
      </c>
      <c r="J251" s="33">
        <f>0.8-0.79</f>
        <v>1.0000000000000009E-2</v>
      </c>
      <c r="K251" s="84">
        <f>IF(J251&lt;&gt;"",J251-J252,"")</f>
        <v>1.0000000000000009E-2</v>
      </c>
      <c r="L251" s="84">
        <v>0.2</v>
      </c>
      <c r="M251" s="105" t="str">
        <f>IF(OR(G251="",I251="",K251=""),"",IF(MAX(ABS(G251),ABS(I251),ABS(K251))&lt;=L251,"PASS","FAIL"))</f>
        <v>PASS</v>
      </c>
      <c r="N251" s="236"/>
      <c r="O251" s="4"/>
    </row>
    <row r="252" spans="2:15" hidden="1" x14ac:dyDescent="0.2">
      <c r="B252" s="227"/>
      <c r="C252" s="79"/>
      <c r="D252" s="79"/>
      <c r="E252" s="116"/>
      <c r="F252" s="87">
        <f>IF(H12="","",HLOOKUP(H12,Data!B61:G65,2,FALSE))</f>
        <v>10.5</v>
      </c>
      <c r="G252" s="79"/>
      <c r="H252" s="87">
        <f>IF(H12="","",HLOOKUP(H12,Data!B61:G65,3,FALSE))</f>
        <v>82.7</v>
      </c>
      <c r="I252" s="79"/>
      <c r="J252" s="87">
        <f>IF(H12="","",HLOOKUP(H12,Data!B61:G65,4,FALSE))</f>
        <v>0</v>
      </c>
      <c r="K252" s="79"/>
      <c r="L252" s="79"/>
      <c r="M252" s="87"/>
      <c r="N252" s="246"/>
      <c r="O252" s="4"/>
    </row>
    <row r="253" spans="2:15" hidden="1" x14ac:dyDescent="0.2">
      <c r="B253" s="227"/>
      <c r="C253" s="108" t="s">
        <v>465</v>
      </c>
      <c r="D253" s="79"/>
      <c r="E253" s="79"/>
      <c r="F253" s="79"/>
      <c r="G253" s="79"/>
      <c r="H253" s="79"/>
      <c r="I253" s="79"/>
      <c r="J253" s="79"/>
      <c r="K253" s="79"/>
      <c r="L253" s="79"/>
      <c r="M253" s="79"/>
      <c r="N253" s="235"/>
      <c r="O253" s="4"/>
    </row>
    <row r="254" spans="2:15" hidden="1" x14ac:dyDescent="0.2">
      <c r="B254" s="227"/>
      <c r="C254" s="79"/>
      <c r="D254" s="79"/>
      <c r="E254" s="79"/>
      <c r="F254" s="83" t="s">
        <v>187</v>
      </c>
      <c r="G254" s="83" t="s">
        <v>188</v>
      </c>
      <c r="H254" s="83" t="s">
        <v>189</v>
      </c>
      <c r="I254" s="83" t="s">
        <v>44</v>
      </c>
      <c r="J254" s="83" t="s">
        <v>101</v>
      </c>
      <c r="K254" s="79"/>
      <c r="L254" s="79"/>
      <c r="M254" s="79"/>
      <c r="N254" s="235"/>
      <c r="O254" s="4"/>
    </row>
    <row r="255" spans="2:15" hidden="1" x14ac:dyDescent="0.2">
      <c r="B255" s="227"/>
      <c r="C255" s="1"/>
      <c r="D255" s="79"/>
      <c r="E255" s="16" t="s">
        <v>192</v>
      </c>
      <c r="F255" s="33">
        <v>0.02</v>
      </c>
      <c r="G255" s="33">
        <v>0.03</v>
      </c>
      <c r="H255" s="33">
        <v>0</v>
      </c>
      <c r="I255" s="84">
        <v>0.2</v>
      </c>
      <c r="J255" s="105" t="str">
        <f>IF(OR(F255="",G255="",H255=""),"",IF(MAX(ABS(F255),ABS(G255),ABS(H255))&lt;=I255,"PASS","FAIL"))</f>
        <v>PASS</v>
      </c>
      <c r="K255" s="79"/>
      <c r="L255" s="79"/>
      <c r="M255" s="79"/>
      <c r="N255" s="235"/>
      <c r="O255" s="4"/>
    </row>
    <row r="256" spans="2:15" hidden="1" x14ac:dyDescent="0.2">
      <c r="B256" s="227"/>
      <c r="C256" s="79"/>
      <c r="D256" s="79"/>
      <c r="E256" s="79"/>
      <c r="F256" s="79"/>
      <c r="G256" s="79"/>
      <c r="H256" s="79"/>
      <c r="I256" s="79"/>
      <c r="J256" s="79"/>
      <c r="K256" s="79"/>
      <c r="L256" s="79"/>
      <c r="M256" s="79"/>
      <c r="N256" s="235"/>
      <c r="O256" s="4"/>
    </row>
    <row r="257" spans="2:16" hidden="1" x14ac:dyDescent="0.2">
      <c r="B257" s="227"/>
      <c r="C257" s="108" t="s">
        <v>193</v>
      </c>
      <c r="D257" s="79"/>
      <c r="E257" s="79"/>
      <c r="F257" s="79"/>
      <c r="G257" s="79"/>
      <c r="H257" s="79"/>
      <c r="I257" s="79"/>
      <c r="J257" s="79"/>
      <c r="K257" s="79"/>
      <c r="L257" s="79"/>
      <c r="M257" s="79"/>
      <c r="N257" s="235"/>
      <c r="O257" s="4"/>
    </row>
    <row r="258" spans="2:16" hidden="1" x14ac:dyDescent="0.2">
      <c r="B258" s="227"/>
      <c r="C258" s="79"/>
      <c r="D258" s="79"/>
      <c r="E258" s="79"/>
      <c r="F258" s="83" t="s">
        <v>187</v>
      </c>
      <c r="G258" s="83" t="s">
        <v>188</v>
      </c>
      <c r="H258" s="83" t="s">
        <v>189</v>
      </c>
      <c r="I258" s="83" t="s">
        <v>44</v>
      </c>
      <c r="J258" s="83" t="s">
        <v>101</v>
      </c>
      <c r="K258" s="79"/>
      <c r="L258" s="79"/>
      <c r="M258" s="79"/>
      <c r="N258" s="235"/>
      <c r="O258" s="4"/>
    </row>
    <row r="259" spans="2:16" hidden="1" x14ac:dyDescent="0.2">
      <c r="B259" s="227"/>
      <c r="C259" s="1"/>
      <c r="D259" s="79"/>
      <c r="E259" s="16" t="s">
        <v>192</v>
      </c>
      <c r="F259" s="33">
        <v>0</v>
      </c>
      <c r="G259" s="33">
        <v>0.01</v>
      </c>
      <c r="H259" s="33">
        <v>0</v>
      </c>
      <c r="I259" s="84">
        <v>0.2</v>
      </c>
      <c r="J259" s="105" t="str">
        <f>IF(OR(F259="",G259="",H259=""),"",IF(MAX(ABS(F259),ABS(G259),ABS(H259))&lt;=I259,"PASS","FAIL"))</f>
        <v>PASS</v>
      </c>
      <c r="K259" s="79"/>
      <c r="L259" s="79"/>
      <c r="M259" s="79"/>
      <c r="N259" s="235"/>
      <c r="O259" s="4"/>
    </row>
    <row r="260" spans="2:16" hidden="1" x14ac:dyDescent="0.2">
      <c r="B260" s="227"/>
      <c r="C260" s="79"/>
      <c r="D260" s="79"/>
      <c r="E260" s="79"/>
      <c r="F260" s="79"/>
      <c r="G260" s="79"/>
      <c r="H260" s="79"/>
      <c r="I260" s="79"/>
      <c r="J260" s="79"/>
      <c r="K260" s="79"/>
      <c r="L260" s="79"/>
      <c r="M260" s="79"/>
      <c r="N260" s="235"/>
      <c r="O260" s="4"/>
    </row>
    <row r="261" spans="2:16" hidden="1" x14ac:dyDescent="0.2">
      <c r="B261" s="227"/>
      <c r="C261" s="108" t="s">
        <v>366</v>
      </c>
      <c r="D261" s="79"/>
      <c r="E261" s="79"/>
      <c r="F261" s="79"/>
      <c r="G261" s="79"/>
      <c r="H261" s="79"/>
      <c r="I261" s="79"/>
      <c r="J261" s="79"/>
      <c r="K261" s="79"/>
      <c r="L261" s="79"/>
      <c r="M261" s="79"/>
      <c r="N261" s="235"/>
      <c r="O261" s="4"/>
    </row>
    <row r="262" spans="2:16" hidden="1" x14ac:dyDescent="0.2">
      <c r="B262" s="227"/>
      <c r="C262" s="79"/>
      <c r="D262" s="79"/>
      <c r="E262" s="79"/>
      <c r="F262" s="83" t="s">
        <v>187</v>
      </c>
      <c r="G262" s="83" t="s">
        <v>188</v>
      </c>
      <c r="H262" s="83" t="s">
        <v>189</v>
      </c>
      <c r="I262" s="83" t="s">
        <v>44</v>
      </c>
      <c r="J262" s="83" t="s">
        <v>101</v>
      </c>
      <c r="K262" s="79"/>
      <c r="L262" s="79"/>
      <c r="M262" s="79"/>
      <c r="N262" s="235"/>
      <c r="O262" s="4"/>
    </row>
    <row r="263" spans="2:16" hidden="1" x14ac:dyDescent="0.2">
      <c r="B263" s="227"/>
      <c r="C263" s="1"/>
      <c r="D263" s="79"/>
      <c r="E263" s="16" t="s">
        <v>192</v>
      </c>
      <c r="F263" s="33">
        <v>-0.03</v>
      </c>
      <c r="G263" s="33">
        <v>-0.02</v>
      </c>
      <c r="H263" s="33">
        <v>-0.01</v>
      </c>
      <c r="I263" s="84">
        <v>0.2</v>
      </c>
      <c r="J263" s="105" t="str">
        <f>IF(OR(F263="",G263="",H263=""),"",IF(MAX(ABS(F263),ABS(G263),ABS(H263))&lt;=I263,"PASS","FAIL"))</f>
        <v>PASS</v>
      </c>
      <c r="K263" s="79"/>
      <c r="L263" s="79"/>
      <c r="M263" s="79"/>
      <c r="N263" s="235"/>
      <c r="O263" s="4"/>
    </row>
    <row r="264" spans="2:16" hidden="1" x14ac:dyDescent="0.2">
      <c r="B264" s="227"/>
      <c r="C264" s="79"/>
      <c r="D264" s="79"/>
      <c r="E264" s="79"/>
      <c r="F264" s="79"/>
      <c r="G264" s="79"/>
      <c r="H264" s="79"/>
      <c r="I264" s="79"/>
      <c r="J264" s="79"/>
      <c r="K264" s="79"/>
      <c r="L264" s="79"/>
      <c r="M264" s="79"/>
      <c r="N264" s="235"/>
      <c r="O264" s="4"/>
      <c r="P264" s="96"/>
    </row>
    <row r="265" spans="2:16" hidden="1" x14ac:dyDescent="0.2">
      <c r="B265" s="227"/>
      <c r="C265" s="108" t="s">
        <v>194</v>
      </c>
      <c r="D265" s="79"/>
      <c r="E265" s="79"/>
      <c r="F265" s="79"/>
      <c r="G265" s="79"/>
      <c r="H265" s="79"/>
      <c r="I265" s="79"/>
      <c r="J265" s="79"/>
      <c r="K265" s="79"/>
      <c r="L265" s="79"/>
      <c r="M265" s="79"/>
      <c r="N265" s="235"/>
      <c r="O265" s="4"/>
      <c r="P265" s="96"/>
    </row>
    <row r="266" spans="2:16" hidden="1" x14ac:dyDescent="0.2">
      <c r="B266" s="227"/>
      <c r="C266" s="79"/>
      <c r="D266" s="79"/>
      <c r="E266" s="79"/>
      <c r="F266" s="83" t="s">
        <v>187</v>
      </c>
      <c r="G266" s="83" t="s">
        <v>188</v>
      </c>
      <c r="H266" s="83" t="s">
        <v>189</v>
      </c>
      <c r="I266" s="83" t="s">
        <v>44</v>
      </c>
      <c r="J266" s="83" t="s">
        <v>101</v>
      </c>
      <c r="K266" s="79"/>
      <c r="L266" s="79"/>
      <c r="M266" s="79"/>
      <c r="N266" s="235"/>
    </row>
    <row r="267" spans="2:16" hidden="1" x14ac:dyDescent="0.2">
      <c r="B267" s="227"/>
      <c r="C267" s="1"/>
      <c r="D267" s="79"/>
      <c r="E267" s="16" t="s">
        <v>192</v>
      </c>
      <c r="F267" s="164">
        <v>0</v>
      </c>
      <c r="G267" s="33">
        <v>-0.01</v>
      </c>
      <c r="H267" s="119" t="s">
        <v>166</v>
      </c>
      <c r="I267" s="84">
        <v>0.2</v>
      </c>
      <c r="J267" s="105" t="str">
        <f>IF(OR(F267="",G267=""),"",IF(MAX(ABS(F267),ABS(G267))&lt;=I267,"PASS","FAIL"))</f>
        <v>PASS</v>
      </c>
      <c r="K267" s="79"/>
      <c r="L267" s="79"/>
      <c r="M267" s="79"/>
      <c r="N267" s="235"/>
      <c r="P267" s="96"/>
    </row>
    <row r="268" spans="2:16" hidden="1" x14ac:dyDescent="0.2">
      <c r="B268" s="227"/>
      <c r="C268" s="79"/>
      <c r="D268" s="79"/>
      <c r="E268" s="79"/>
      <c r="F268" s="79"/>
      <c r="G268" s="79"/>
      <c r="H268" s="79"/>
      <c r="I268" s="79"/>
      <c r="J268" s="79"/>
      <c r="K268" s="79"/>
      <c r="L268" s="79"/>
      <c r="M268" s="79"/>
      <c r="N268" s="235"/>
      <c r="P268" s="96"/>
    </row>
    <row r="269" spans="2:16" hidden="1" x14ac:dyDescent="0.2">
      <c r="B269" s="227"/>
      <c r="C269" s="108" t="s">
        <v>195</v>
      </c>
      <c r="D269" s="79"/>
      <c r="E269" s="79"/>
      <c r="F269" s="79"/>
      <c r="G269" s="79"/>
      <c r="H269" s="79"/>
      <c r="I269" s="79"/>
      <c r="J269" s="79"/>
      <c r="K269" s="79"/>
      <c r="L269" s="79"/>
      <c r="M269" s="79"/>
      <c r="N269" s="235"/>
    </row>
    <row r="270" spans="2:16" hidden="1" x14ac:dyDescent="0.2">
      <c r="B270" s="227"/>
      <c r="C270" s="79"/>
      <c r="D270" s="79"/>
      <c r="E270" s="79"/>
      <c r="F270" s="83" t="s">
        <v>187</v>
      </c>
      <c r="G270" s="83" t="s">
        <v>188</v>
      </c>
      <c r="H270" s="83" t="s">
        <v>189</v>
      </c>
      <c r="I270" s="83" t="s">
        <v>44</v>
      </c>
      <c r="J270" s="83" t="s">
        <v>101</v>
      </c>
      <c r="K270" s="79"/>
      <c r="L270" s="79"/>
      <c r="M270" s="79"/>
      <c r="N270" s="235"/>
      <c r="P270" s="96"/>
    </row>
    <row r="271" spans="2:16" hidden="1" x14ac:dyDescent="0.2">
      <c r="B271" s="227"/>
      <c r="C271" s="1"/>
      <c r="D271" s="79"/>
      <c r="E271" s="16" t="s">
        <v>192</v>
      </c>
      <c r="F271" s="119" t="s">
        <v>166</v>
      </c>
      <c r="G271" s="33">
        <v>0</v>
      </c>
      <c r="H271" s="33">
        <v>0.03</v>
      </c>
      <c r="I271" s="84">
        <v>0.2</v>
      </c>
      <c r="J271" s="105" t="str">
        <f>IF(OR(G271="",H271=""),"",IF(MAX(ABS(G271),ABS(H271))&lt;=I271,"PASS","FAIL"))</f>
        <v>PASS</v>
      </c>
      <c r="K271" s="79"/>
      <c r="L271" s="79"/>
      <c r="M271" s="79"/>
      <c r="N271" s="235"/>
    </row>
    <row r="272" spans="2:16" hidden="1" x14ac:dyDescent="0.2">
      <c r="B272" s="227"/>
      <c r="C272" s="79"/>
      <c r="D272" s="79"/>
      <c r="E272" s="79"/>
      <c r="F272" s="79"/>
      <c r="G272" s="79"/>
      <c r="H272" s="79"/>
      <c r="I272" s="79"/>
      <c r="J272" s="79"/>
      <c r="K272" s="79"/>
      <c r="L272" s="79"/>
      <c r="M272" s="79"/>
      <c r="N272" s="235"/>
    </row>
    <row r="273" spans="2:16" ht="15.75" x14ac:dyDescent="0.25">
      <c r="B273" s="230"/>
      <c r="C273" s="113" t="s">
        <v>405</v>
      </c>
      <c r="D273" s="115"/>
      <c r="E273" s="115"/>
      <c r="F273" s="115"/>
      <c r="G273" s="162"/>
      <c r="H273" s="162"/>
      <c r="I273" s="115"/>
      <c r="J273" s="197" t="s">
        <v>472</v>
      </c>
      <c r="K273" s="329" t="s">
        <v>528</v>
      </c>
      <c r="L273" s="329"/>
      <c r="M273" s="115"/>
      <c r="N273" s="239"/>
    </row>
    <row r="274" spans="2:16" ht="15.75" x14ac:dyDescent="0.25">
      <c r="B274" s="230"/>
      <c r="C274" s="179"/>
      <c r="D274" s="180"/>
      <c r="E274" s="180"/>
      <c r="F274" s="180"/>
      <c r="G274" s="181"/>
      <c r="H274" s="181"/>
      <c r="I274" s="180"/>
      <c r="J274" s="180"/>
      <c r="K274" s="180"/>
      <c r="L274" s="180"/>
      <c r="M274" s="180"/>
      <c r="N274" s="239"/>
    </row>
    <row r="275" spans="2:16" hidden="1" x14ac:dyDescent="0.2">
      <c r="B275" s="230"/>
      <c r="C275" s="182" t="s">
        <v>406</v>
      </c>
      <c r="D275" s="180"/>
      <c r="E275" s="180"/>
      <c r="F275" s="180"/>
      <c r="G275" s="181" t="s">
        <v>334</v>
      </c>
      <c r="H275" s="181"/>
      <c r="I275" s="180"/>
      <c r="J275" s="180"/>
      <c r="K275" s="180"/>
      <c r="L275" s="180"/>
      <c r="M275" s="180"/>
      <c r="N275" s="239"/>
    </row>
    <row r="276" spans="2:16" hidden="1" x14ac:dyDescent="0.2">
      <c r="B276" s="227"/>
      <c r="C276" s="79" t="s">
        <v>196</v>
      </c>
      <c r="D276" s="79"/>
      <c r="E276" s="79"/>
      <c r="F276" s="79"/>
      <c r="G276" s="79"/>
      <c r="H276" s="79"/>
      <c r="I276" s="79"/>
      <c r="J276" s="79"/>
      <c r="K276" s="79"/>
      <c r="L276" s="79"/>
      <c r="M276" s="79"/>
      <c r="N276" s="235"/>
    </row>
    <row r="277" spans="2:16" hidden="1" x14ac:dyDescent="0.2">
      <c r="B277" s="227"/>
      <c r="C277" s="79" t="s">
        <v>271</v>
      </c>
      <c r="D277" s="79"/>
      <c r="E277" s="79"/>
      <c r="F277" s="79"/>
      <c r="G277" s="79"/>
      <c r="H277" s="79"/>
      <c r="I277" s="79"/>
      <c r="J277" s="79"/>
      <c r="K277" s="79"/>
      <c r="L277" s="79"/>
      <c r="M277" s="79"/>
      <c r="N277" s="235"/>
      <c r="P277" s="268" t="s">
        <v>498</v>
      </c>
    </row>
    <row r="278" spans="2:16" hidden="1" x14ac:dyDescent="0.2">
      <c r="B278" s="227"/>
      <c r="C278" s="79" t="s">
        <v>267</v>
      </c>
      <c r="D278" s="79"/>
      <c r="E278" s="79"/>
      <c r="F278" s="79"/>
      <c r="G278" s="79"/>
      <c r="H278" s="79"/>
      <c r="I278" s="79"/>
      <c r="J278" s="79"/>
      <c r="K278" s="79"/>
      <c r="L278" s="79"/>
      <c r="M278" s="79"/>
      <c r="N278" s="235"/>
    </row>
    <row r="279" spans="2:16" hidden="1" x14ac:dyDescent="0.2">
      <c r="B279" s="227"/>
      <c r="C279" s="79" t="s">
        <v>443</v>
      </c>
      <c r="D279" s="79"/>
      <c r="E279" s="79"/>
      <c r="F279" s="79"/>
      <c r="G279" s="79"/>
      <c r="H279" s="79"/>
      <c r="I279" s="79"/>
      <c r="J279" s="79"/>
      <c r="K279" s="79"/>
      <c r="L279" s="79"/>
      <c r="M279" s="79"/>
      <c r="N279" s="235"/>
    </row>
    <row r="280" spans="2:16" hidden="1" x14ac:dyDescent="0.2">
      <c r="B280" s="227"/>
      <c r="C280" s="79"/>
      <c r="D280" s="79"/>
      <c r="E280" s="79"/>
      <c r="F280" s="79"/>
      <c r="G280" s="79"/>
      <c r="H280" s="79"/>
      <c r="I280" s="79"/>
      <c r="J280" s="79"/>
      <c r="K280" s="79"/>
      <c r="L280" s="79"/>
      <c r="M280" s="79"/>
      <c r="N280" s="235"/>
    </row>
    <row r="281" spans="2:16" hidden="1" x14ac:dyDescent="0.2">
      <c r="B281" s="227"/>
      <c r="C281" s="79"/>
      <c r="D281" s="79"/>
      <c r="E281" s="79"/>
      <c r="F281" s="83" t="s">
        <v>66</v>
      </c>
      <c r="G281" s="83" t="s">
        <v>44</v>
      </c>
      <c r="H281" s="79"/>
      <c r="I281" s="79"/>
      <c r="J281" s="79"/>
      <c r="K281" s="79"/>
      <c r="L281" s="79"/>
      <c r="M281" s="79"/>
      <c r="N281" s="235"/>
    </row>
    <row r="282" spans="2:16" hidden="1" x14ac:dyDescent="0.2">
      <c r="B282" s="227"/>
      <c r="C282" s="80"/>
      <c r="D282" s="120" t="s">
        <v>198</v>
      </c>
      <c r="E282" s="33">
        <v>1.68</v>
      </c>
      <c r="F282" s="50">
        <v>1.6</v>
      </c>
      <c r="G282" s="50">
        <v>0.2</v>
      </c>
      <c r="H282" s="105" t="str">
        <f>IF(E282="","",IF(ABS(E282-F282)&lt;=G282,"PASS","FAIL"))</f>
        <v>PASS</v>
      </c>
      <c r="I282" s="79"/>
      <c r="J282" s="79"/>
      <c r="K282" s="79"/>
      <c r="L282" s="79"/>
      <c r="M282" s="79"/>
      <c r="N282" s="235"/>
    </row>
    <row r="283" spans="2:16" hidden="1" x14ac:dyDescent="0.2">
      <c r="B283" s="227"/>
      <c r="C283" s="80"/>
      <c r="D283" s="120" t="s">
        <v>197</v>
      </c>
      <c r="E283" s="33">
        <v>0.88</v>
      </c>
      <c r="F283" s="50">
        <v>0.8</v>
      </c>
      <c r="G283" s="50">
        <v>0.2</v>
      </c>
      <c r="H283" s="105" t="str">
        <f>IF(E283="","",IF(ABS(E283-F283)&lt;=G283,"PASS","FAIL"))</f>
        <v>PASS</v>
      </c>
      <c r="I283" s="79"/>
      <c r="J283" s="79"/>
      <c r="K283" s="79"/>
      <c r="L283" s="79"/>
      <c r="M283" s="79"/>
      <c r="N283" s="235"/>
    </row>
    <row r="284" spans="2:16" hidden="1" x14ac:dyDescent="0.2">
      <c r="B284" s="227"/>
      <c r="C284" s="80"/>
      <c r="D284" s="120" t="s">
        <v>199</v>
      </c>
      <c r="E284" s="33">
        <v>5.2</v>
      </c>
      <c r="F284" s="50">
        <v>5.0999999999999996</v>
      </c>
      <c r="G284" s="50">
        <v>0.2</v>
      </c>
      <c r="H284" s="105" t="str">
        <f>IF(E284="","",IF(ABS(E284-F284)&lt;=G284,"PASS","FAIL"))</f>
        <v>PASS</v>
      </c>
      <c r="I284" s="15" t="s">
        <v>367</v>
      </c>
      <c r="J284" s="79"/>
      <c r="K284" s="79"/>
      <c r="L284" s="79"/>
      <c r="M284" s="79"/>
      <c r="N284" s="235"/>
    </row>
    <row r="285" spans="2:16" hidden="1" x14ac:dyDescent="0.2">
      <c r="B285" s="227"/>
      <c r="C285" s="80"/>
      <c r="D285" s="120" t="s">
        <v>202</v>
      </c>
      <c r="E285" s="33">
        <v>0.16</v>
      </c>
      <c r="F285" s="50">
        <v>0.17</v>
      </c>
      <c r="G285" s="50">
        <v>0.02</v>
      </c>
      <c r="H285" s="105" t="str">
        <f>IF(E285="","",IF(ABS(E285-F285)&lt;=G285,"PASS","FAIL"))</f>
        <v>PASS</v>
      </c>
      <c r="I285" s="79"/>
      <c r="J285" s="79"/>
      <c r="K285" s="79"/>
      <c r="L285" s="79"/>
      <c r="M285" s="79"/>
      <c r="N285" s="235"/>
    </row>
    <row r="286" spans="2:16" hidden="1" x14ac:dyDescent="0.2">
      <c r="B286" s="227"/>
      <c r="C286" s="118"/>
      <c r="D286" s="118"/>
      <c r="E286" s="79"/>
      <c r="F286" s="79"/>
      <c r="G286" s="83"/>
      <c r="H286" s="107"/>
      <c r="I286" s="79"/>
      <c r="J286" s="79"/>
      <c r="K286" s="79"/>
      <c r="L286" s="79"/>
      <c r="M286" s="79"/>
      <c r="N286" s="235"/>
    </row>
    <row r="287" spans="2:16" hidden="1" x14ac:dyDescent="0.2">
      <c r="B287" s="227"/>
      <c r="C287" s="79"/>
      <c r="D287" s="16" t="s">
        <v>200</v>
      </c>
      <c r="E287" s="164" t="s">
        <v>22</v>
      </c>
      <c r="F287" s="15" t="s">
        <v>218</v>
      </c>
      <c r="G287" s="79"/>
      <c r="H287" s="79"/>
      <c r="I287" s="79"/>
      <c r="J287" s="79"/>
      <c r="K287" s="79"/>
      <c r="L287" s="79"/>
      <c r="M287" s="79"/>
      <c r="N287" s="235"/>
    </row>
    <row r="288" spans="2:16" hidden="1" x14ac:dyDescent="0.2">
      <c r="B288" s="227"/>
      <c r="C288" s="79"/>
      <c r="D288" s="16" t="s">
        <v>201</v>
      </c>
      <c r="E288" s="33" t="s">
        <v>22</v>
      </c>
      <c r="F288" s="15" t="s">
        <v>203</v>
      </c>
      <c r="G288" s="79"/>
      <c r="H288" s="79"/>
      <c r="I288" s="79"/>
      <c r="J288" s="79"/>
      <c r="K288" s="79"/>
      <c r="L288" s="79"/>
      <c r="M288" s="79"/>
      <c r="N288" s="235"/>
    </row>
    <row r="289" spans="2:16" hidden="1" x14ac:dyDescent="0.2">
      <c r="B289" s="227"/>
      <c r="C289" s="79"/>
      <c r="D289" s="79"/>
      <c r="E289" s="79"/>
      <c r="F289" s="79"/>
      <c r="G289" s="79"/>
      <c r="H289" s="79"/>
      <c r="I289" s="79"/>
      <c r="J289" s="79"/>
      <c r="K289" s="79"/>
      <c r="L289" s="79"/>
      <c r="M289" s="79"/>
      <c r="N289" s="235"/>
    </row>
    <row r="290" spans="2:16" hidden="1" x14ac:dyDescent="0.2">
      <c r="B290" s="227"/>
      <c r="C290" s="79"/>
      <c r="D290" s="16" t="s">
        <v>97</v>
      </c>
      <c r="E290" s="314"/>
      <c r="F290" s="347"/>
      <c r="G290" s="347"/>
      <c r="H290" s="347"/>
      <c r="I290" s="347"/>
      <c r="J290" s="347"/>
      <c r="K290" s="347"/>
      <c r="L290" s="347"/>
      <c r="M290" s="348"/>
      <c r="N290" s="247"/>
      <c r="O290" s="4"/>
    </row>
    <row r="291" spans="2:16" hidden="1" x14ac:dyDescent="0.2">
      <c r="B291" s="227"/>
      <c r="C291" s="79"/>
      <c r="D291" s="79"/>
      <c r="E291" s="314"/>
      <c r="F291" s="315"/>
      <c r="G291" s="315"/>
      <c r="H291" s="315"/>
      <c r="I291" s="315"/>
      <c r="J291" s="315"/>
      <c r="K291" s="315"/>
      <c r="L291" s="315"/>
      <c r="M291" s="316"/>
      <c r="N291" s="228"/>
      <c r="O291" s="4"/>
    </row>
    <row r="292" spans="2:16" hidden="1" x14ac:dyDescent="0.2">
      <c r="B292" s="227"/>
      <c r="C292" s="79"/>
      <c r="D292" s="79"/>
      <c r="E292" s="79"/>
      <c r="F292" s="79"/>
      <c r="G292" s="79"/>
      <c r="H292" s="79"/>
      <c r="I292" s="79"/>
      <c r="J292" s="79"/>
      <c r="K292" s="79"/>
      <c r="L292" s="79"/>
      <c r="M292" s="79"/>
      <c r="N292" s="235"/>
      <c r="O292" s="4"/>
    </row>
    <row r="293" spans="2:16" ht="15.75" x14ac:dyDescent="0.25">
      <c r="B293" s="230"/>
      <c r="C293" s="113" t="s">
        <v>420</v>
      </c>
      <c r="D293" s="115"/>
      <c r="E293" s="115"/>
      <c r="F293" s="115"/>
      <c r="G293" s="115"/>
      <c r="H293" s="115"/>
      <c r="I293" s="115"/>
      <c r="J293" s="197" t="s">
        <v>472</v>
      </c>
      <c r="K293" s="329" t="s">
        <v>528</v>
      </c>
      <c r="L293" s="329"/>
      <c r="M293" s="115"/>
      <c r="N293" s="239"/>
      <c r="O293" s="4"/>
    </row>
    <row r="294" spans="2:16" x14ac:dyDescent="0.2">
      <c r="B294" s="227"/>
      <c r="C294" s="79"/>
      <c r="D294" s="79"/>
      <c r="E294" s="79"/>
      <c r="F294" s="79"/>
      <c r="G294" s="79"/>
      <c r="H294" s="79"/>
      <c r="I294" s="79"/>
      <c r="J294" s="79"/>
      <c r="K294" s="79"/>
      <c r="L294" s="79"/>
      <c r="M294" s="79"/>
      <c r="N294" s="235"/>
      <c r="O294" s="4"/>
    </row>
    <row r="295" spans="2:16" ht="14.25" hidden="1" x14ac:dyDescent="0.2">
      <c r="B295" s="227"/>
      <c r="C295" s="184" t="s">
        <v>418</v>
      </c>
      <c r="D295" s="79"/>
      <c r="E295" s="79"/>
      <c r="F295" s="79"/>
      <c r="G295" s="79"/>
      <c r="H295" s="79"/>
      <c r="I295" s="79"/>
      <c r="J295" s="79"/>
      <c r="K295" s="79"/>
      <c r="L295" s="79"/>
      <c r="M295" s="79"/>
      <c r="N295" s="235"/>
      <c r="O295" s="4"/>
    </row>
    <row r="296" spans="2:16" hidden="1" x14ac:dyDescent="0.2">
      <c r="B296" s="227"/>
      <c r="C296" s="108" t="s">
        <v>407</v>
      </c>
      <c r="D296" s="7"/>
      <c r="E296" s="7"/>
      <c r="F296" s="7"/>
      <c r="G296" s="161" t="s">
        <v>335</v>
      </c>
      <c r="H296" s="7"/>
      <c r="I296" s="7"/>
      <c r="J296" s="7"/>
      <c r="K296" s="7"/>
      <c r="L296" s="7"/>
      <c r="M296" s="7"/>
      <c r="N296" s="228"/>
      <c r="O296" s="4"/>
    </row>
    <row r="297" spans="2:16" hidden="1" x14ac:dyDescent="0.2">
      <c r="B297" s="227"/>
      <c r="C297" s="79" t="s">
        <v>314</v>
      </c>
      <c r="D297" s="7"/>
      <c r="E297" s="7"/>
      <c r="F297" s="7"/>
      <c r="G297" s="7"/>
      <c r="H297" s="7"/>
      <c r="I297" s="7"/>
      <c r="J297" s="7"/>
      <c r="K297" s="7"/>
      <c r="L297" s="7"/>
      <c r="M297" s="7"/>
      <c r="N297" s="228"/>
      <c r="P297" s="96"/>
    </row>
    <row r="298" spans="2:16" hidden="1" x14ac:dyDescent="0.2">
      <c r="B298" s="227"/>
      <c r="C298" s="79" t="s">
        <v>284</v>
      </c>
      <c r="D298" s="7"/>
      <c r="E298" s="7"/>
      <c r="F298" s="7"/>
      <c r="G298" s="7"/>
      <c r="H298" s="7"/>
      <c r="I298" s="7"/>
      <c r="J298" s="7"/>
      <c r="K298" s="7"/>
      <c r="L298" s="7"/>
      <c r="M298" s="7"/>
      <c r="N298" s="228"/>
      <c r="O298" s="4"/>
    </row>
    <row r="299" spans="2:16" hidden="1" x14ac:dyDescent="0.2">
      <c r="B299" s="227"/>
      <c r="C299" s="79" t="s">
        <v>501</v>
      </c>
      <c r="D299" s="7"/>
      <c r="E299" s="7"/>
      <c r="F299" s="7"/>
      <c r="G299" s="7"/>
      <c r="H299" s="7"/>
      <c r="I299" s="7"/>
      <c r="J299" s="7"/>
      <c r="K299" s="7"/>
      <c r="L299" s="7"/>
      <c r="M299" s="7"/>
      <c r="N299" s="228"/>
      <c r="O299" s="4"/>
    </row>
    <row r="300" spans="2:16" hidden="1" x14ac:dyDescent="0.2">
      <c r="B300" s="227"/>
      <c r="C300" s="79" t="s">
        <v>315</v>
      </c>
      <c r="D300" s="7"/>
      <c r="E300" s="7"/>
      <c r="F300" s="7"/>
      <c r="G300" s="7"/>
      <c r="H300" s="7"/>
      <c r="I300" s="7"/>
      <c r="J300" s="7"/>
      <c r="K300" s="7"/>
      <c r="L300" s="7"/>
      <c r="M300" s="7"/>
      <c r="N300" s="228"/>
      <c r="O300" s="4"/>
    </row>
    <row r="301" spans="2:16" hidden="1" x14ac:dyDescent="0.2">
      <c r="B301" s="227"/>
      <c r="C301" s="79" t="s">
        <v>444</v>
      </c>
      <c r="D301" s="7"/>
      <c r="E301" s="7"/>
      <c r="F301" s="7"/>
      <c r="G301" s="7"/>
      <c r="H301" s="7"/>
      <c r="I301" s="7"/>
      <c r="J301" s="7"/>
      <c r="K301" s="7"/>
      <c r="L301" s="7"/>
      <c r="M301" s="7"/>
      <c r="N301" s="228"/>
      <c r="O301" s="4"/>
    </row>
    <row r="302" spans="2:16" hidden="1" x14ac:dyDescent="0.2">
      <c r="B302" s="227"/>
      <c r="C302" s="79"/>
      <c r="D302" s="7"/>
      <c r="E302" s="7"/>
      <c r="F302" s="7"/>
      <c r="G302" s="7"/>
      <c r="H302" s="7"/>
      <c r="I302" s="7"/>
      <c r="J302" s="7"/>
      <c r="K302" s="7"/>
      <c r="L302" s="7"/>
      <c r="M302" s="7"/>
      <c r="N302" s="228"/>
    </row>
    <row r="303" spans="2:16" hidden="1" x14ac:dyDescent="0.2">
      <c r="B303" s="227"/>
      <c r="C303" s="47" t="s">
        <v>205</v>
      </c>
      <c r="D303" s="134" t="s">
        <v>78</v>
      </c>
      <c r="E303" s="134" t="s">
        <v>79</v>
      </c>
      <c r="F303" s="134" t="s">
        <v>80</v>
      </c>
      <c r="G303" s="134" t="s">
        <v>81</v>
      </c>
      <c r="H303" s="134" t="s">
        <v>204</v>
      </c>
      <c r="I303" s="134" t="s">
        <v>90</v>
      </c>
      <c r="J303" s="134" t="s">
        <v>101</v>
      </c>
      <c r="K303" s="83"/>
      <c r="L303" s="83"/>
      <c r="M303" s="83"/>
      <c r="N303" s="233"/>
    </row>
    <row r="304" spans="2:16" hidden="1" x14ac:dyDescent="0.2">
      <c r="B304" s="227"/>
      <c r="C304" s="53" t="s">
        <v>236</v>
      </c>
      <c r="D304" s="53" t="s">
        <v>58</v>
      </c>
      <c r="E304" s="53" t="s">
        <v>58</v>
      </c>
      <c r="F304" s="53" t="s">
        <v>58</v>
      </c>
      <c r="G304" s="53" t="s">
        <v>58</v>
      </c>
      <c r="H304" s="53"/>
      <c r="I304" s="53"/>
      <c r="J304" s="53"/>
      <c r="K304" s="83"/>
      <c r="L304" s="79" t="s">
        <v>462</v>
      </c>
      <c r="M304" s="79"/>
      <c r="N304" s="233"/>
      <c r="O304" s="4"/>
      <c r="P304" s="96"/>
    </row>
    <row r="305" spans="2:16" hidden="1" x14ac:dyDescent="0.2">
      <c r="B305" s="227"/>
      <c r="C305" s="171" t="s">
        <v>425</v>
      </c>
      <c r="D305" s="59">
        <v>20</v>
      </c>
      <c r="E305" s="59">
        <v>20</v>
      </c>
      <c r="F305" s="59">
        <v>15</v>
      </c>
      <c r="G305" s="59">
        <v>15</v>
      </c>
      <c r="H305" s="33" t="s">
        <v>22</v>
      </c>
      <c r="I305" s="21" t="s">
        <v>92</v>
      </c>
      <c r="J305" s="105" t="str">
        <f t="array" ref="J305">IF(OR(D305:I305=""),"",IF(AND(ABS(D305-D306)&lt;=0.2,ABS(E305-E306)&lt;=0.2,ABS(F305-F306)&lt;=0.2,ABS(G305-G306)&lt;=0.2,H305="PASS",I305="No"),"PASS","FAIL"))</f>
        <v>PASS</v>
      </c>
      <c r="K305" s="107"/>
      <c r="L305" s="334" t="s">
        <v>531</v>
      </c>
      <c r="M305" s="335"/>
      <c r="N305" s="236"/>
      <c r="O305" s="4"/>
      <c r="P305" s="96"/>
    </row>
    <row r="306" spans="2:16" hidden="1" x14ac:dyDescent="0.2">
      <c r="B306" s="227"/>
      <c r="C306" s="248" t="s">
        <v>237</v>
      </c>
      <c r="D306" s="123">
        <v>20</v>
      </c>
      <c r="E306" s="123">
        <v>20</v>
      </c>
      <c r="F306" s="123">
        <v>15</v>
      </c>
      <c r="G306" s="123">
        <v>15</v>
      </c>
      <c r="H306" s="123"/>
      <c r="I306" s="123"/>
      <c r="J306" s="123"/>
      <c r="K306" s="83"/>
      <c r="L306" s="82"/>
      <c r="M306" s="7"/>
      <c r="N306" s="228"/>
      <c r="O306" s="4"/>
      <c r="P306" s="96"/>
    </row>
    <row r="307" spans="2:16" hidden="1" x14ac:dyDescent="0.2">
      <c r="B307" s="227"/>
      <c r="C307" s="79"/>
      <c r="D307" s="7"/>
      <c r="E307" s="7"/>
      <c r="F307" s="7"/>
      <c r="G307" s="7"/>
      <c r="H307" s="7"/>
      <c r="I307" s="7"/>
      <c r="J307" s="7"/>
      <c r="K307" s="7"/>
      <c r="L307" s="7"/>
      <c r="M307" s="7"/>
      <c r="N307" s="228"/>
      <c r="P307" s="96"/>
    </row>
    <row r="308" spans="2:16" hidden="1" x14ac:dyDescent="0.2">
      <c r="B308" s="227"/>
      <c r="C308" s="79" t="s">
        <v>508</v>
      </c>
      <c r="D308" s="7"/>
      <c r="E308" s="7"/>
      <c r="F308" s="344"/>
      <c r="G308" s="345"/>
      <c r="H308" s="345"/>
      <c r="I308" s="345"/>
      <c r="J308" s="345"/>
      <c r="K308" s="345"/>
      <c r="L308" s="346"/>
      <c r="M308" s="7"/>
      <c r="N308" s="228"/>
      <c r="O308" s="4"/>
      <c r="P308" s="96"/>
    </row>
    <row r="309" spans="2:16" hidden="1" x14ac:dyDescent="0.2">
      <c r="B309" s="230"/>
      <c r="C309" s="7"/>
      <c r="D309" s="7"/>
      <c r="E309" s="7"/>
      <c r="F309" s="338"/>
      <c r="G309" s="339"/>
      <c r="H309" s="339"/>
      <c r="I309" s="339"/>
      <c r="J309" s="339"/>
      <c r="K309" s="339"/>
      <c r="L309" s="340"/>
      <c r="M309" s="7"/>
      <c r="N309" s="228"/>
      <c r="O309" s="4"/>
      <c r="P309" s="96"/>
    </row>
    <row r="310" spans="2:16" hidden="1" x14ac:dyDescent="0.2">
      <c r="B310" s="230"/>
      <c r="C310" s="7"/>
      <c r="D310" s="7"/>
      <c r="E310" s="7"/>
      <c r="F310" s="7"/>
      <c r="G310" s="7"/>
      <c r="H310" s="7"/>
      <c r="I310" s="7"/>
      <c r="J310" s="7"/>
      <c r="K310" s="7"/>
      <c r="L310" s="7"/>
      <c r="M310" s="7"/>
      <c r="N310" s="228"/>
      <c r="O310" s="4"/>
    </row>
    <row r="311" spans="2:16" hidden="1" x14ac:dyDescent="0.2">
      <c r="B311" s="227"/>
      <c r="C311" s="108" t="s">
        <v>408</v>
      </c>
      <c r="D311" s="7"/>
      <c r="E311" s="7"/>
      <c r="F311" s="7"/>
      <c r="G311" s="161" t="s">
        <v>335</v>
      </c>
      <c r="H311" s="7"/>
      <c r="I311" s="7"/>
      <c r="J311" s="7"/>
      <c r="K311" s="7"/>
      <c r="L311" s="7"/>
      <c r="M311" s="7"/>
      <c r="N311" s="228"/>
      <c r="P311" s="96"/>
    </row>
    <row r="312" spans="2:16" hidden="1" x14ac:dyDescent="0.2">
      <c r="B312" s="227"/>
      <c r="C312" s="79" t="s">
        <v>346</v>
      </c>
      <c r="D312" s="7"/>
      <c r="E312" s="7"/>
      <c r="F312" s="7"/>
      <c r="G312" s="7"/>
      <c r="H312" s="7"/>
      <c r="I312" s="7"/>
      <c r="J312" s="7"/>
      <c r="K312" s="7"/>
      <c r="L312" s="7"/>
      <c r="M312" s="7"/>
      <c r="N312" s="228"/>
      <c r="P312" s="96"/>
    </row>
    <row r="313" spans="2:16" hidden="1" x14ac:dyDescent="0.2">
      <c r="B313" s="227"/>
      <c r="C313" s="79" t="s">
        <v>345</v>
      </c>
      <c r="D313" s="7"/>
      <c r="E313" s="7"/>
      <c r="F313" s="7"/>
      <c r="G313" s="7"/>
      <c r="H313" s="7"/>
      <c r="I313" s="7"/>
      <c r="J313" s="7"/>
      <c r="K313" s="7"/>
      <c r="L313" s="7"/>
      <c r="M313" s="7"/>
      <c r="N313" s="228"/>
      <c r="O313" s="4"/>
      <c r="P313" s="96"/>
    </row>
    <row r="314" spans="2:16" hidden="1" x14ac:dyDescent="0.2">
      <c r="B314" s="227"/>
      <c r="C314" s="79" t="s">
        <v>347</v>
      </c>
      <c r="D314" s="79"/>
      <c r="E314" s="79"/>
      <c r="F314" s="79"/>
      <c r="G314" s="79"/>
      <c r="H314" s="7"/>
      <c r="I314" s="7"/>
      <c r="J314" s="7"/>
      <c r="K314" s="7"/>
      <c r="L314" s="7"/>
      <c r="M314" s="7"/>
      <c r="N314" s="228"/>
      <c r="O314" s="4"/>
      <c r="P314" s="96"/>
    </row>
    <row r="315" spans="2:16" hidden="1" x14ac:dyDescent="0.2">
      <c r="B315" s="227"/>
      <c r="C315" s="79" t="s">
        <v>344</v>
      </c>
      <c r="D315" s="79"/>
      <c r="E315" s="79"/>
      <c r="F315" s="79"/>
      <c r="G315" s="79"/>
      <c r="H315" s="7"/>
      <c r="I315" s="7"/>
      <c r="J315" s="7"/>
      <c r="K315" s="7"/>
      <c r="L315" s="7"/>
      <c r="M315" s="7"/>
      <c r="N315" s="228"/>
      <c r="O315" s="4"/>
      <c r="P315" s="96"/>
    </row>
    <row r="316" spans="2:16" hidden="1" x14ac:dyDescent="0.2">
      <c r="B316" s="227"/>
      <c r="C316" s="1"/>
      <c r="D316" s="79"/>
      <c r="E316" s="79"/>
      <c r="F316" s="79"/>
      <c r="G316" s="79"/>
      <c r="H316" s="7"/>
      <c r="I316" s="7"/>
      <c r="J316" s="7"/>
      <c r="K316" s="7"/>
      <c r="L316" s="7"/>
      <c r="M316" s="7"/>
      <c r="N316" s="228"/>
      <c r="O316" s="4"/>
    </row>
    <row r="317" spans="2:16" hidden="1" x14ac:dyDescent="0.2">
      <c r="B317" s="227"/>
      <c r="C317" s="47" t="s">
        <v>205</v>
      </c>
      <c r="D317" s="26"/>
      <c r="E317" s="26" t="s">
        <v>103</v>
      </c>
      <c r="F317" s="26" t="s">
        <v>104</v>
      </c>
      <c r="G317" s="26" t="s">
        <v>105</v>
      </c>
      <c r="H317" s="26" t="s">
        <v>71</v>
      </c>
      <c r="I317" s="26" t="s">
        <v>44</v>
      </c>
      <c r="J317" s="7"/>
      <c r="K317" s="7"/>
      <c r="L317" s="7"/>
      <c r="M317" s="7"/>
      <c r="N317" s="228"/>
      <c r="O317" s="4"/>
    </row>
    <row r="318" spans="2:16" hidden="1" x14ac:dyDescent="0.2">
      <c r="B318" s="227"/>
      <c r="C318" s="53" t="s">
        <v>236</v>
      </c>
      <c r="D318" s="29"/>
      <c r="E318" s="53" t="s">
        <v>72</v>
      </c>
      <c r="F318" s="53" t="s">
        <v>72</v>
      </c>
      <c r="G318" s="53" t="s">
        <v>72</v>
      </c>
      <c r="H318" s="53" t="s">
        <v>72</v>
      </c>
      <c r="I318" s="29" t="s">
        <v>72</v>
      </c>
      <c r="J318" s="7"/>
      <c r="K318" s="7"/>
      <c r="L318" s="7"/>
      <c r="M318" s="7"/>
      <c r="N318" s="228"/>
      <c r="O318" s="4"/>
    </row>
    <row r="319" spans="2:16" hidden="1" x14ac:dyDescent="0.2">
      <c r="B319" s="227"/>
      <c r="C319" s="172" t="s">
        <v>425</v>
      </c>
      <c r="D319" s="43" t="s">
        <v>165</v>
      </c>
      <c r="E319" s="59">
        <v>2.2000000000000002</v>
      </c>
      <c r="F319" s="59">
        <v>1.8</v>
      </c>
      <c r="G319" s="59">
        <v>0.6</v>
      </c>
      <c r="H319" s="59">
        <v>7.5</v>
      </c>
      <c r="I319" s="35">
        <v>5</v>
      </c>
      <c r="J319" s="36" t="str">
        <f>IF(OR(C319="",E319="",F319="",G319="",H319=""),"",IF(AND(ABS(E319)&lt;=I319,ABS(F319)&lt;=I319,ABS(G319)&lt;=I319,ABS(H319)&lt;=I319),"PASS","FAIL"))</f>
        <v>FAIL</v>
      </c>
      <c r="K319" s="90" t="s">
        <v>170</v>
      </c>
      <c r="L319" s="80"/>
      <c r="M319" s="7"/>
      <c r="N319" s="228"/>
      <c r="O319" s="4"/>
    </row>
    <row r="320" spans="2:16" hidden="1" x14ac:dyDescent="0.2">
      <c r="B320" s="227"/>
      <c r="C320" s="79"/>
      <c r="D320" s="79"/>
      <c r="E320" s="79"/>
      <c r="F320" s="79"/>
      <c r="G320" s="79"/>
      <c r="H320" s="7"/>
      <c r="I320" s="7"/>
      <c r="J320" s="52"/>
      <c r="K320" s="90"/>
      <c r="L320" s="1"/>
      <c r="M320" s="7"/>
      <c r="N320" s="228"/>
      <c r="O320" s="4"/>
    </row>
    <row r="321" spans="2:17" hidden="1" x14ac:dyDescent="0.2">
      <c r="B321" s="227"/>
      <c r="C321" s="108" t="s">
        <v>409</v>
      </c>
      <c r="D321" s="7"/>
      <c r="E321" s="7"/>
      <c r="F321" s="7"/>
      <c r="G321" s="161" t="s">
        <v>335</v>
      </c>
      <c r="H321" s="7"/>
      <c r="I321" s="7"/>
      <c r="J321" s="7"/>
      <c r="K321" s="7"/>
      <c r="L321" s="7"/>
      <c r="M321" s="7"/>
      <c r="N321" s="228"/>
      <c r="O321" s="4"/>
    </row>
    <row r="322" spans="2:17" hidden="1" x14ac:dyDescent="0.2">
      <c r="B322" s="227"/>
      <c r="C322" s="79" t="s">
        <v>275</v>
      </c>
      <c r="D322" s="79"/>
      <c r="E322" s="79"/>
      <c r="F322" s="79"/>
      <c r="G322" s="79"/>
      <c r="H322" s="79"/>
      <c r="I322" s="79"/>
      <c r="J322" s="79"/>
      <c r="K322" s="79"/>
      <c r="L322" s="79" t="s">
        <v>462</v>
      </c>
      <c r="M322" s="79"/>
      <c r="N322" s="235"/>
      <c r="O322" s="4"/>
      <c r="Q322" s="272"/>
    </row>
    <row r="323" spans="2:17" hidden="1" x14ac:dyDescent="0.2">
      <c r="B323" s="227"/>
      <c r="C323" s="79" t="s">
        <v>500</v>
      </c>
      <c r="D323" s="79"/>
      <c r="E323" s="79"/>
      <c r="F323" s="79"/>
      <c r="G323" s="79"/>
      <c r="H323" s="79"/>
      <c r="I323" s="79"/>
      <c r="J323" s="79"/>
      <c r="K323" s="79"/>
      <c r="L323" s="334" t="s">
        <v>532</v>
      </c>
      <c r="M323" s="335"/>
      <c r="N323" s="228"/>
      <c r="O323" s="4"/>
      <c r="Q323" s="272"/>
    </row>
    <row r="324" spans="2:17" hidden="1" x14ac:dyDescent="0.2">
      <c r="B324" s="227"/>
      <c r="C324" s="79" t="s">
        <v>502</v>
      </c>
      <c r="D324" s="7"/>
      <c r="E324" s="7"/>
      <c r="F324" s="7"/>
      <c r="G324" s="7"/>
      <c r="H324" s="7"/>
      <c r="I324" s="7"/>
      <c r="J324" s="7"/>
      <c r="K324" s="7"/>
      <c r="L324" s="334" t="s">
        <v>533</v>
      </c>
      <c r="M324" s="335"/>
      <c r="N324" s="228"/>
      <c r="O324" s="4"/>
      <c r="Q324" s="272"/>
    </row>
    <row r="325" spans="2:17" hidden="1" x14ac:dyDescent="0.2">
      <c r="B325" s="227"/>
      <c r="C325" s="7"/>
      <c r="D325" s="7"/>
      <c r="E325" s="7"/>
      <c r="F325" s="7"/>
      <c r="G325" s="7"/>
      <c r="H325" s="7"/>
      <c r="I325" s="7"/>
      <c r="J325" s="7"/>
      <c r="K325" s="7"/>
      <c r="L325" s="7"/>
      <c r="M325" s="7"/>
      <c r="N325" s="228"/>
      <c r="O325" s="4"/>
      <c r="Q325" s="272"/>
    </row>
    <row r="326" spans="2:17" hidden="1" x14ac:dyDescent="0.2">
      <c r="B326" s="227"/>
      <c r="C326" s="47" t="s">
        <v>205</v>
      </c>
      <c r="D326" s="47" t="s">
        <v>227</v>
      </c>
      <c r="E326" s="47" t="s">
        <v>348</v>
      </c>
      <c r="F326" s="47" t="s">
        <v>273</v>
      </c>
      <c r="G326" s="47" t="s">
        <v>352</v>
      </c>
      <c r="H326" s="47" t="s">
        <v>351</v>
      </c>
      <c r="I326" s="47" t="s">
        <v>353</v>
      </c>
      <c r="J326" s="47" t="s">
        <v>274</v>
      </c>
      <c r="K326" s="47" t="s">
        <v>354</v>
      </c>
      <c r="L326" s="47" t="s">
        <v>44</v>
      </c>
      <c r="M326" s="107"/>
      <c r="N326" s="236"/>
      <c r="O326" s="4"/>
      <c r="Q326" s="272"/>
    </row>
    <row r="327" spans="2:17" hidden="1" x14ac:dyDescent="0.2">
      <c r="B327" s="227"/>
      <c r="C327" s="53" t="s">
        <v>236</v>
      </c>
      <c r="D327" s="58"/>
      <c r="E327" s="51"/>
      <c r="F327" s="58" t="s">
        <v>350</v>
      </c>
      <c r="G327" s="58" t="s">
        <v>350</v>
      </c>
      <c r="H327" s="58" t="s">
        <v>350</v>
      </c>
      <c r="I327" s="58" t="s">
        <v>350</v>
      </c>
      <c r="J327" s="58"/>
      <c r="K327" s="58"/>
      <c r="L327" s="163">
        <v>0.2</v>
      </c>
      <c r="M327" s="269"/>
      <c r="N327" s="249"/>
      <c r="O327" s="4"/>
      <c r="Q327" s="272"/>
    </row>
    <row r="328" spans="2:17" hidden="1" x14ac:dyDescent="0.2">
      <c r="B328" s="227"/>
      <c r="C328" s="173" t="s">
        <v>425</v>
      </c>
      <c r="D328" s="127" t="s">
        <v>499</v>
      </c>
      <c r="E328" s="127" t="s">
        <v>349</v>
      </c>
      <c r="F328" s="164">
        <v>1.82</v>
      </c>
      <c r="G328" s="165">
        <f>Data!AA53</f>
        <v>1.8</v>
      </c>
      <c r="H328" s="164">
        <v>2.54</v>
      </c>
      <c r="I328" s="165">
        <f>Data!AB53</f>
        <v>2.6</v>
      </c>
      <c r="J328" s="112">
        <v>22.8</v>
      </c>
      <c r="K328" s="127">
        <f>Data!AC53</f>
        <v>20</v>
      </c>
      <c r="L328" s="132" t="str">
        <f>IF(OR(F328="",H328="",J328=""),"",IF(AND(F328&gt;=0.8*G328,H328&gt;=0.8*I328,J328&gt;=0.8*K328),"PASS","FAIL"))</f>
        <v>PASS</v>
      </c>
      <c r="M328" s="270"/>
      <c r="N328" s="250"/>
      <c r="Q328" s="272"/>
    </row>
    <row r="329" spans="2:17" hidden="1" x14ac:dyDescent="0.2">
      <c r="B329" s="227"/>
      <c r="C329" s="173" t="s">
        <v>368</v>
      </c>
      <c r="D329" s="127" t="s">
        <v>228</v>
      </c>
      <c r="E329" s="127" t="s">
        <v>355</v>
      </c>
      <c r="F329" s="164">
        <v>1.8480000000000001</v>
      </c>
      <c r="G329" s="165">
        <v>1.8</v>
      </c>
      <c r="H329" s="164">
        <v>2.5950000000000002</v>
      </c>
      <c r="I329" s="165">
        <v>2.7</v>
      </c>
      <c r="J329" s="112">
        <v>15.6</v>
      </c>
      <c r="K329" s="127">
        <v>13</v>
      </c>
      <c r="L329" s="132" t="str">
        <f>IF(OR(F329="",H329="",J329=""),"",IF(AND(F329&gt;=0.8*G329,H329&gt;=0.8*I329,J329&gt;=0.8*K329),"PASS","FAIL"))</f>
        <v>PASS</v>
      </c>
      <c r="M329" s="270"/>
      <c r="N329" s="250"/>
      <c r="O329" s="4"/>
      <c r="P329" s="271"/>
      <c r="Q329" s="272"/>
    </row>
    <row r="330" spans="2:17" hidden="1" x14ac:dyDescent="0.2">
      <c r="B330" s="227"/>
      <c r="C330" s="251"/>
      <c r="D330" s="61"/>
      <c r="E330" s="61"/>
      <c r="F330" s="61"/>
      <c r="G330" s="61"/>
      <c r="H330" s="61"/>
      <c r="I330" s="7"/>
      <c r="J330" s="7"/>
      <c r="K330" s="7"/>
      <c r="L330" s="7"/>
      <c r="M330" s="7"/>
      <c r="N330" s="228"/>
      <c r="O330" s="4"/>
      <c r="Q330" s="272"/>
    </row>
    <row r="331" spans="2:17" hidden="1" x14ac:dyDescent="0.2">
      <c r="B331" s="227"/>
      <c r="C331" s="108" t="s">
        <v>410</v>
      </c>
      <c r="D331" s="7"/>
      <c r="E331" s="7"/>
      <c r="F331" s="7"/>
      <c r="G331" s="161" t="s">
        <v>335</v>
      </c>
      <c r="H331" s="7"/>
      <c r="I331" s="7"/>
      <c r="J331" s="7"/>
      <c r="K331" s="7"/>
      <c r="L331" s="7"/>
      <c r="M331" s="7"/>
      <c r="N331" s="228"/>
      <c r="O331" s="4"/>
      <c r="Q331" s="272"/>
    </row>
    <row r="332" spans="2:17" hidden="1" x14ac:dyDescent="0.2">
      <c r="B332" s="227"/>
      <c r="C332" s="79" t="s">
        <v>268</v>
      </c>
      <c r="D332" s="79"/>
      <c r="E332" s="79"/>
      <c r="F332" s="79"/>
      <c r="G332" s="79"/>
      <c r="H332" s="79"/>
      <c r="I332" s="79"/>
      <c r="J332" s="79"/>
      <c r="K332" s="79"/>
      <c r="L332" s="79"/>
      <c r="M332" s="79"/>
      <c r="N332" s="235"/>
      <c r="O332" s="4"/>
      <c r="Q332" s="272"/>
    </row>
    <row r="333" spans="2:17" hidden="1" x14ac:dyDescent="0.2">
      <c r="B333" s="227"/>
      <c r="C333" s="79" t="s">
        <v>509</v>
      </c>
      <c r="D333" s="79"/>
      <c r="E333" s="79"/>
      <c r="F333" s="79"/>
      <c r="G333" s="79"/>
      <c r="H333" s="79"/>
      <c r="I333" s="79"/>
      <c r="J333" s="79"/>
      <c r="K333" s="79"/>
      <c r="L333" s="79"/>
      <c r="M333" s="79"/>
      <c r="N333" s="235"/>
      <c r="Q333" s="272"/>
    </row>
    <row r="334" spans="2:17" hidden="1" x14ac:dyDescent="0.2">
      <c r="B334" s="227"/>
      <c r="C334" s="79"/>
      <c r="D334" s="79"/>
      <c r="E334" s="79"/>
      <c r="F334" s="79"/>
      <c r="G334" s="79"/>
      <c r="H334" s="79"/>
      <c r="I334" s="79"/>
      <c r="J334" s="79"/>
      <c r="K334" s="79"/>
      <c r="L334" s="79"/>
      <c r="M334" s="79"/>
      <c r="N334" s="235"/>
      <c r="Q334" s="272"/>
    </row>
    <row r="335" spans="2:17" hidden="1" x14ac:dyDescent="0.2">
      <c r="B335" s="227"/>
      <c r="C335" s="47" t="s">
        <v>205</v>
      </c>
      <c r="D335" s="47" t="s">
        <v>206</v>
      </c>
      <c r="E335" s="47" t="s">
        <v>66</v>
      </c>
      <c r="F335" s="47" t="s">
        <v>44</v>
      </c>
      <c r="G335" s="47" t="s">
        <v>49</v>
      </c>
      <c r="H335" s="47" t="s">
        <v>66</v>
      </c>
      <c r="I335" s="47" t="s">
        <v>44</v>
      </c>
      <c r="J335" s="41"/>
      <c r="K335" s="41"/>
      <c r="L335" s="41"/>
      <c r="M335" s="41"/>
      <c r="N335" s="232"/>
      <c r="O335" s="4"/>
      <c r="Q335" s="272"/>
    </row>
    <row r="336" spans="2:17" hidden="1" x14ac:dyDescent="0.2">
      <c r="B336" s="227"/>
      <c r="C336" s="53" t="s">
        <v>236</v>
      </c>
      <c r="D336" s="58" t="s">
        <v>238</v>
      </c>
      <c r="E336" s="58" t="s">
        <v>238</v>
      </c>
      <c r="F336" s="58" t="s">
        <v>238</v>
      </c>
      <c r="G336" s="58" t="s">
        <v>251</v>
      </c>
      <c r="H336" s="58" t="s">
        <v>252</v>
      </c>
      <c r="I336" s="58" t="s">
        <v>50</v>
      </c>
      <c r="J336" s="41"/>
      <c r="K336" s="252"/>
      <c r="L336" s="41"/>
      <c r="M336" s="41"/>
      <c r="N336" s="232"/>
      <c r="O336" s="4"/>
    </row>
    <row r="337" spans="2:16" hidden="1" x14ac:dyDescent="0.2">
      <c r="B337" s="227"/>
      <c r="C337" s="171" t="s">
        <v>426</v>
      </c>
      <c r="D337" s="112">
        <v>75.599999999999994</v>
      </c>
      <c r="E337" s="127">
        <v>75</v>
      </c>
      <c r="F337" s="127">
        <v>5</v>
      </c>
      <c r="G337" s="112">
        <v>35.700000000000003</v>
      </c>
      <c r="H337" s="127">
        <f>Data!AG52</f>
        <v>33</v>
      </c>
      <c r="I337" s="127">
        <v>20</v>
      </c>
      <c r="J337" s="183" t="str">
        <f>IF(OR(D337="",G337=""),"",IF(AND(ABS(D337-E337)&lt;=F337,100*ABS(G337-H337)/H337&lt;=I337),"PASS","FAIL"))</f>
        <v>PASS</v>
      </c>
      <c r="K337" s="79"/>
      <c r="L337" s="107"/>
      <c r="M337" s="107"/>
      <c r="N337" s="236"/>
      <c r="O337" s="4"/>
    </row>
    <row r="338" spans="2:16" hidden="1" x14ac:dyDescent="0.2">
      <c r="B338" s="227"/>
      <c r="C338" s="171" t="s">
        <v>427</v>
      </c>
      <c r="D338" s="112">
        <v>128.5</v>
      </c>
      <c r="E338" s="127">
        <v>125</v>
      </c>
      <c r="F338" s="127">
        <v>5</v>
      </c>
      <c r="G338" s="112">
        <v>92.5</v>
      </c>
      <c r="H338" s="127">
        <f>Data!AG53</f>
        <v>89</v>
      </c>
      <c r="I338" s="127">
        <v>20</v>
      </c>
      <c r="J338" s="183" t="str">
        <f>IF(OR(D338="",G338=""),"",IF(AND(ABS(D338-E338)&lt;=F338,100*ABS(G338-H338)/H338&lt;=I338),"PASS","FAIL"))</f>
        <v>PASS</v>
      </c>
      <c r="K338" s="79"/>
      <c r="L338" s="90"/>
      <c r="M338" s="107"/>
      <c r="N338" s="236"/>
      <c r="O338" s="4"/>
    </row>
    <row r="339" spans="2:16" hidden="1" x14ac:dyDescent="0.2">
      <c r="B339" s="227"/>
      <c r="C339" s="251"/>
      <c r="D339" s="122"/>
      <c r="E339" s="122"/>
      <c r="F339" s="121"/>
      <c r="G339" s="121"/>
      <c r="H339" s="121"/>
      <c r="I339" s="123"/>
      <c r="J339" s="7"/>
      <c r="K339" s="7"/>
      <c r="L339" s="7"/>
      <c r="M339" s="7"/>
      <c r="N339" s="228"/>
    </row>
    <row r="340" spans="2:16" ht="15.75" x14ac:dyDescent="0.25">
      <c r="B340" s="230"/>
      <c r="C340" s="113" t="s">
        <v>419</v>
      </c>
      <c r="D340" s="115"/>
      <c r="E340" s="115"/>
      <c r="F340" s="115"/>
      <c r="G340" s="115"/>
      <c r="H340" s="115"/>
      <c r="I340" s="115"/>
      <c r="J340" s="197" t="s">
        <v>472</v>
      </c>
      <c r="K340" s="329" t="s">
        <v>528</v>
      </c>
      <c r="L340" s="329"/>
      <c r="M340" s="115"/>
      <c r="N340" s="239"/>
      <c r="O340" s="4"/>
    </row>
    <row r="341" spans="2:16" ht="15" customHeight="1" x14ac:dyDescent="0.2">
      <c r="B341" s="227"/>
      <c r="C341" s="79"/>
      <c r="D341" s="79"/>
      <c r="E341" s="79"/>
      <c r="F341" s="79"/>
      <c r="G341" s="79"/>
      <c r="H341" s="79"/>
      <c r="I341" s="79"/>
      <c r="J341" s="79"/>
      <c r="K341" s="79"/>
      <c r="L341" s="79"/>
      <c r="M341" s="79"/>
      <c r="N341" s="235"/>
      <c r="O341" s="4"/>
    </row>
    <row r="342" spans="2:16" ht="14.25" hidden="1" x14ac:dyDescent="0.2">
      <c r="B342" s="227"/>
      <c r="C342" s="184" t="s">
        <v>418</v>
      </c>
      <c r="D342" s="79"/>
      <c r="E342" s="79"/>
      <c r="F342" s="79"/>
      <c r="G342" s="79"/>
      <c r="H342" s="79"/>
      <c r="I342" s="79"/>
      <c r="J342" s="79"/>
      <c r="K342" s="79"/>
      <c r="L342" s="79"/>
      <c r="M342" s="79"/>
      <c r="N342" s="235"/>
      <c r="O342" s="4"/>
    </row>
    <row r="343" spans="2:16" hidden="1" x14ac:dyDescent="0.2">
      <c r="B343" s="227"/>
      <c r="C343" s="108" t="s">
        <v>411</v>
      </c>
      <c r="D343" s="7"/>
      <c r="E343" s="7"/>
      <c r="F343" s="7"/>
      <c r="G343" s="161" t="s">
        <v>336</v>
      </c>
      <c r="H343" s="7"/>
      <c r="I343" s="7"/>
      <c r="J343" s="7"/>
      <c r="K343" s="7"/>
      <c r="L343" s="7"/>
      <c r="M343" s="7"/>
      <c r="N343" s="228"/>
      <c r="O343" s="4"/>
    </row>
    <row r="344" spans="2:16" hidden="1" x14ac:dyDescent="0.2">
      <c r="B344" s="227"/>
      <c r="C344" s="79" t="s">
        <v>276</v>
      </c>
      <c r="D344" s="79"/>
      <c r="E344" s="79"/>
      <c r="F344" s="79"/>
      <c r="G344" s="79"/>
      <c r="H344" s="79"/>
      <c r="I344" s="79"/>
      <c r="J344" s="79"/>
      <c r="K344" s="79"/>
      <c r="L344" s="79"/>
      <c r="M344" s="79"/>
      <c r="N344" s="235"/>
      <c r="O344" s="4"/>
    </row>
    <row r="345" spans="2:16" hidden="1" x14ac:dyDescent="0.2">
      <c r="B345" s="227"/>
      <c r="C345" s="79" t="s">
        <v>270</v>
      </c>
      <c r="D345" s="79"/>
      <c r="E345" s="79"/>
      <c r="F345" s="79"/>
      <c r="G345" s="79"/>
      <c r="H345" s="79"/>
      <c r="I345" s="79"/>
      <c r="J345" s="79"/>
      <c r="K345" s="79"/>
      <c r="L345" s="79"/>
      <c r="M345" s="79"/>
      <c r="N345" s="235"/>
      <c r="O345" s="4"/>
      <c r="P345" s="96"/>
    </row>
    <row r="346" spans="2:16" hidden="1" x14ac:dyDescent="0.2">
      <c r="B346" s="227"/>
      <c r="C346" s="79" t="s">
        <v>277</v>
      </c>
      <c r="D346" s="79"/>
      <c r="E346" s="79"/>
      <c r="F346" s="79"/>
      <c r="G346" s="79"/>
      <c r="H346" s="79"/>
      <c r="I346" s="79"/>
      <c r="J346" s="79"/>
      <c r="K346" s="79"/>
      <c r="L346" s="79"/>
      <c r="M346" s="79"/>
      <c r="N346" s="235"/>
      <c r="O346" s="4"/>
      <c r="P346" s="96"/>
    </row>
    <row r="347" spans="2:16" hidden="1" x14ac:dyDescent="0.2">
      <c r="B347" s="227"/>
      <c r="C347" s="79" t="s">
        <v>269</v>
      </c>
      <c r="D347" s="79"/>
      <c r="E347" s="79"/>
      <c r="F347" s="79"/>
      <c r="G347" s="79"/>
      <c r="H347" s="79"/>
      <c r="I347" s="79"/>
      <c r="J347" s="79"/>
      <c r="K347" s="79"/>
      <c r="L347" s="79"/>
      <c r="M347" s="79"/>
      <c r="N347" s="235"/>
      <c r="P347" s="96"/>
    </row>
    <row r="348" spans="2:16" hidden="1" x14ac:dyDescent="0.2">
      <c r="B348" s="227"/>
      <c r="C348" s="79"/>
      <c r="D348" s="79"/>
      <c r="E348" s="79"/>
      <c r="F348" s="79"/>
      <c r="G348" s="79"/>
      <c r="H348" s="79"/>
      <c r="I348" s="79"/>
      <c r="J348" s="79"/>
      <c r="K348" s="79"/>
      <c r="L348" s="79"/>
      <c r="M348" s="79"/>
      <c r="N348" s="235"/>
    </row>
    <row r="349" spans="2:16" hidden="1" x14ac:dyDescent="0.2">
      <c r="B349" s="227"/>
      <c r="C349" s="47" t="s">
        <v>209</v>
      </c>
      <c r="D349" s="47" t="s">
        <v>213</v>
      </c>
      <c r="E349" s="47" t="s">
        <v>216</v>
      </c>
      <c r="F349" s="47" t="s">
        <v>239</v>
      </c>
      <c r="G349" s="47" t="s">
        <v>217</v>
      </c>
      <c r="H349" s="52"/>
      <c r="I349" s="52"/>
      <c r="J349" s="52"/>
      <c r="K349" s="52"/>
      <c r="L349" s="41"/>
      <c r="M349" s="41"/>
      <c r="N349" s="232"/>
      <c r="O349" s="4"/>
    </row>
    <row r="350" spans="2:16" hidden="1" x14ac:dyDescent="0.2">
      <c r="B350" s="227"/>
      <c r="C350" s="124" t="s">
        <v>210</v>
      </c>
      <c r="D350" s="58"/>
      <c r="E350" s="58"/>
      <c r="F350" s="58"/>
      <c r="G350" s="58" t="s">
        <v>101</v>
      </c>
      <c r="H350" s="52"/>
      <c r="I350" s="90" t="s">
        <v>300</v>
      </c>
      <c r="J350" s="52"/>
      <c r="K350" s="52"/>
      <c r="L350" s="41"/>
      <c r="M350" s="41"/>
      <c r="N350" s="232"/>
      <c r="O350" s="4"/>
    </row>
    <row r="351" spans="2:16" hidden="1" x14ac:dyDescent="0.2">
      <c r="B351" s="227"/>
      <c r="C351" s="31" t="s">
        <v>261</v>
      </c>
      <c r="D351" s="31" t="s">
        <v>214</v>
      </c>
      <c r="E351" s="127" t="s">
        <v>214</v>
      </c>
      <c r="F351" s="127" t="s">
        <v>466</v>
      </c>
      <c r="G351" s="133" t="s">
        <v>22</v>
      </c>
      <c r="H351" s="130"/>
      <c r="I351" s="341"/>
      <c r="J351" s="342"/>
      <c r="K351" s="342"/>
      <c r="L351" s="342"/>
      <c r="M351" s="343"/>
      <c r="N351" s="228"/>
      <c r="O351" s="4"/>
    </row>
    <row r="352" spans="2:16" hidden="1" x14ac:dyDescent="0.2">
      <c r="B352" s="227"/>
      <c r="C352" s="7"/>
      <c r="D352" s="7"/>
      <c r="E352" s="41"/>
      <c r="F352" s="41"/>
      <c r="G352" s="52"/>
      <c r="H352" s="52"/>
      <c r="I352" s="52"/>
      <c r="J352" s="52"/>
      <c r="K352" s="52"/>
      <c r="L352" s="52"/>
      <c r="M352" s="52"/>
      <c r="N352" s="231"/>
    </row>
    <row r="353" spans="2:16" hidden="1" x14ac:dyDescent="0.2">
      <c r="B353" s="253"/>
      <c r="C353" s="108" t="s">
        <v>412</v>
      </c>
      <c r="D353" s="79"/>
      <c r="E353" s="79"/>
      <c r="F353" s="79"/>
      <c r="G353" s="79"/>
      <c r="H353" s="79"/>
      <c r="I353" s="79"/>
      <c r="J353" s="79"/>
      <c r="K353" s="79"/>
      <c r="L353" s="79"/>
      <c r="M353" s="79"/>
      <c r="N353" s="235"/>
    </row>
    <row r="354" spans="2:16" hidden="1" x14ac:dyDescent="0.2">
      <c r="B354" s="253"/>
      <c r="C354" s="79"/>
      <c r="D354" s="79"/>
      <c r="E354" s="83" t="s">
        <v>253</v>
      </c>
      <c r="F354" s="83" t="s">
        <v>285</v>
      </c>
      <c r="G354" s="83" t="s">
        <v>286</v>
      </c>
      <c r="H354" s="79"/>
      <c r="I354" s="79"/>
      <c r="J354" s="79"/>
      <c r="K354" s="79"/>
      <c r="L354" s="79"/>
      <c r="M354" s="79"/>
      <c r="N354" s="235"/>
    </row>
    <row r="355" spans="2:16" hidden="1" x14ac:dyDescent="0.2">
      <c r="B355" s="253"/>
      <c r="C355" s="16"/>
      <c r="D355" s="146" t="s">
        <v>343</v>
      </c>
      <c r="E355" s="147">
        <v>2.15</v>
      </c>
      <c r="F355" s="148">
        <v>2</v>
      </c>
      <c r="G355" s="84">
        <v>0.5</v>
      </c>
      <c r="H355" s="79"/>
      <c r="I355" s="79"/>
      <c r="J355" s="79"/>
      <c r="K355" s="79"/>
      <c r="L355" s="105" t="str">
        <f>IF(E355="","",IF(ABS(E355-F355)&lt;=G355,"PASS","FAIL"))</f>
        <v>PASS</v>
      </c>
      <c r="M355" s="79"/>
      <c r="N355" s="235"/>
    </row>
    <row r="356" spans="2:16" hidden="1" x14ac:dyDescent="0.2">
      <c r="B356" s="253"/>
      <c r="C356" s="79"/>
      <c r="D356" s="146" t="s">
        <v>337</v>
      </c>
      <c r="E356" s="147">
        <v>50.097000000000001</v>
      </c>
      <c r="F356" s="148">
        <v>50</v>
      </c>
      <c r="G356" s="84">
        <v>1</v>
      </c>
      <c r="H356" s="79"/>
      <c r="I356" s="79"/>
      <c r="J356" s="79"/>
      <c r="K356" s="79"/>
      <c r="L356" s="105" t="str">
        <f>IF(E356="","",IF(ABS(E356-F356)&lt;=G356,"PASS","FAIL"))</f>
        <v>PASS</v>
      </c>
      <c r="M356" s="79"/>
      <c r="N356" s="235"/>
    </row>
    <row r="357" spans="2:16" hidden="1" x14ac:dyDescent="0.2">
      <c r="B357" s="253"/>
      <c r="C357" s="79"/>
      <c r="D357" s="146" t="s">
        <v>338</v>
      </c>
      <c r="E357" s="147">
        <v>50.098999999999997</v>
      </c>
      <c r="F357" s="148">
        <v>50</v>
      </c>
      <c r="G357" s="84">
        <v>1</v>
      </c>
      <c r="H357" s="79"/>
      <c r="I357" s="79"/>
      <c r="J357" s="79"/>
      <c r="K357" s="79"/>
      <c r="L357" s="105" t="str">
        <f>IF(E357="","",IF(ABS(E357-F357)&lt;=G357,"PASS","FAIL"))</f>
        <v>PASS</v>
      </c>
      <c r="M357" s="79"/>
      <c r="N357" s="235"/>
    </row>
    <row r="358" spans="2:16" hidden="1" x14ac:dyDescent="0.2">
      <c r="B358" s="253"/>
      <c r="C358" s="79"/>
      <c r="D358" s="16"/>
      <c r="E358" s="87"/>
      <c r="F358" s="87"/>
      <c r="G358" s="87"/>
      <c r="H358" s="79"/>
      <c r="I358" s="79"/>
      <c r="J358" s="79"/>
      <c r="K358" s="79"/>
      <c r="L358" s="107"/>
      <c r="M358" s="79"/>
      <c r="N358" s="235"/>
    </row>
    <row r="359" spans="2:16" ht="13.5" hidden="1" customHeight="1" x14ac:dyDescent="0.2">
      <c r="B359" s="253"/>
      <c r="C359" s="108" t="s">
        <v>413</v>
      </c>
      <c r="D359" s="16"/>
      <c r="E359" s="87"/>
      <c r="F359" s="87"/>
      <c r="G359" s="87"/>
      <c r="H359" s="79"/>
      <c r="I359" s="79"/>
      <c r="J359" s="79"/>
      <c r="K359" s="79"/>
      <c r="L359" s="107"/>
      <c r="M359" s="79"/>
      <c r="N359" s="235"/>
    </row>
    <row r="360" spans="2:16" hidden="1" x14ac:dyDescent="0.2">
      <c r="B360" s="253"/>
      <c r="C360" s="79"/>
      <c r="D360" s="79"/>
      <c r="E360" s="83" t="s">
        <v>287</v>
      </c>
      <c r="F360" s="83" t="s">
        <v>288</v>
      </c>
      <c r="G360" s="83" t="s">
        <v>289</v>
      </c>
      <c r="H360" s="79"/>
      <c r="I360" s="79"/>
      <c r="J360" s="79"/>
      <c r="K360" s="79"/>
      <c r="L360" s="79"/>
      <c r="M360" s="79"/>
      <c r="N360" s="235"/>
      <c r="P360" s="96"/>
    </row>
    <row r="361" spans="2:16" hidden="1" x14ac:dyDescent="0.2">
      <c r="B361" s="253"/>
      <c r="C361" s="16"/>
      <c r="D361" s="146" t="s">
        <v>290</v>
      </c>
      <c r="E361" s="153">
        <v>354</v>
      </c>
      <c r="F361" s="149">
        <v>340</v>
      </c>
      <c r="G361" s="150">
        <v>50</v>
      </c>
      <c r="H361" s="79"/>
      <c r="I361" s="79"/>
      <c r="J361" s="79"/>
      <c r="K361" s="79"/>
      <c r="L361" s="105" t="str">
        <f>IF(E361="","",IF(ABS(E361-F361)&lt;=G361,"PASS","FAIL"))</f>
        <v>PASS</v>
      </c>
      <c r="M361" s="79"/>
      <c r="N361" s="235"/>
      <c r="P361" s="96"/>
    </row>
    <row r="362" spans="2:16" hidden="1" x14ac:dyDescent="0.2">
      <c r="B362" s="253"/>
      <c r="C362" s="79"/>
      <c r="D362" s="146" t="s">
        <v>291</v>
      </c>
      <c r="E362" s="153">
        <v>-993</v>
      </c>
      <c r="F362" s="149">
        <v>-1000</v>
      </c>
      <c r="G362" s="150">
        <v>50</v>
      </c>
      <c r="H362" s="79"/>
      <c r="I362" s="79"/>
      <c r="J362" s="79"/>
      <c r="K362" s="79"/>
      <c r="L362" s="105" t="str">
        <f>IF(E362="","",IF(ABS(E362-F362)&lt;=G362,"PASS","FAIL"))</f>
        <v>PASS</v>
      </c>
      <c r="M362" s="79"/>
      <c r="N362" s="235"/>
      <c r="P362" s="96"/>
    </row>
    <row r="363" spans="2:16" hidden="1" x14ac:dyDescent="0.2">
      <c r="B363" s="253"/>
      <c r="C363" s="79"/>
      <c r="D363" s="146" t="s">
        <v>292</v>
      </c>
      <c r="E363" s="153">
        <v>-99</v>
      </c>
      <c r="F363" s="149">
        <v>-100</v>
      </c>
      <c r="G363" s="150">
        <v>50</v>
      </c>
      <c r="H363" s="79"/>
      <c r="I363" s="79"/>
      <c r="J363" s="79"/>
      <c r="K363" s="79"/>
      <c r="L363" s="105" t="str">
        <f>IF(E363="","",IF(ABS(E363-F363)&lt;=G363,"PASS","FAIL"))</f>
        <v>PASS</v>
      </c>
      <c r="M363" s="79"/>
      <c r="N363" s="235"/>
    </row>
    <row r="364" spans="2:16" hidden="1" x14ac:dyDescent="0.2">
      <c r="B364" s="253"/>
      <c r="C364" s="79"/>
      <c r="D364" s="146" t="s">
        <v>293</v>
      </c>
      <c r="E364" s="153">
        <v>980</v>
      </c>
      <c r="F364" s="149">
        <v>990</v>
      </c>
      <c r="G364" s="150">
        <v>50</v>
      </c>
      <c r="H364" s="79"/>
      <c r="I364" s="79"/>
      <c r="J364" s="79"/>
      <c r="K364" s="79"/>
      <c r="L364" s="105" t="str">
        <f>IF(E364="","",IF(ABS(E364-F364)&lt;=G364,"PASS","FAIL"))</f>
        <v>PASS</v>
      </c>
      <c r="M364" s="79"/>
      <c r="N364" s="235"/>
    </row>
    <row r="365" spans="2:16" hidden="1" x14ac:dyDescent="0.2">
      <c r="B365" s="253"/>
      <c r="C365" s="79"/>
      <c r="D365" s="16"/>
      <c r="E365" s="87"/>
      <c r="F365" s="87"/>
      <c r="G365" s="87"/>
      <c r="H365" s="79"/>
      <c r="I365" s="79"/>
      <c r="J365" s="79"/>
      <c r="K365" s="79"/>
      <c r="L365" s="107"/>
      <c r="M365" s="79"/>
      <c r="N365" s="235"/>
    </row>
    <row r="366" spans="2:16" hidden="1" x14ac:dyDescent="0.2">
      <c r="B366" s="253"/>
      <c r="C366" s="108" t="s">
        <v>414</v>
      </c>
      <c r="D366" s="79"/>
      <c r="E366" s="79"/>
      <c r="F366" s="79"/>
      <c r="G366" s="79"/>
      <c r="H366" s="79"/>
      <c r="I366" s="79"/>
      <c r="J366" s="79"/>
      <c r="K366" s="79"/>
      <c r="L366" s="79"/>
      <c r="M366" s="79"/>
      <c r="N366" s="235"/>
    </row>
    <row r="367" spans="2:16" hidden="1" x14ac:dyDescent="0.2">
      <c r="B367" s="253"/>
      <c r="C367" s="79"/>
      <c r="D367" s="79"/>
      <c r="E367" s="83" t="s">
        <v>374</v>
      </c>
      <c r="F367" s="83" t="s">
        <v>389</v>
      </c>
      <c r="G367" s="83" t="s">
        <v>388</v>
      </c>
      <c r="H367" s="79"/>
      <c r="I367" s="79"/>
      <c r="J367" s="79"/>
      <c r="K367" s="79"/>
      <c r="L367" s="79"/>
      <c r="M367" s="79"/>
      <c r="N367" s="235"/>
    </row>
    <row r="368" spans="2:16" hidden="1" x14ac:dyDescent="0.2">
      <c r="B368" s="253"/>
      <c r="C368" s="16"/>
      <c r="D368" s="146"/>
      <c r="E368" s="147">
        <v>0.83199999999999996</v>
      </c>
      <c r="F368" s="84">
        <f>Data!AI52</f>
        <v>0.8</v>
      </c>
      <c r="G368" s="50">
        <v>20</v>
      </c>
      <c r="H368" s="79"/>
      <c r="I368" s="79"/>
      <c r="J368" s="79"/>
      <c r="K368" s="79"/>
      <c r="L368" s="105" t="str">
        <f>IF(E368="","",IF(E368&gt;=0.8*F368,"PASS","FAIL"))</f>
        <v>PASS</v>
      </c>
      <c r="M368" s="79"/>
      <c r="N368" s="235"/>
    </row>
    <row r="369" spans="2:14" hidden="1" x14ac:dyDescent="0.2">
      <c r="B369" s="253"/>
      <c r="C369" s="16"/>
      <c r="D369" s="16"/>
      <c r="E369" s="79"/>
      <c r="F369" s="151"/>
      <c r="G369" s="79"/>
      <c r="H369" s="79"/>
      <c r="I369" s="79"/>
      <c r="J369" s="79"/>
      <c r="K369" s="79"/>
      <c r="L369" s="107"/>
      <c r="M369" s="79"/>
      <c r="N369" s="235"/>
    </row>
    <row r="370" spans="2:14" hidden="1" x14ac:dyDescent="0.2">
      <c r="B370" s="253"/>
      <c r="C370" s="108" t="s">
        <v>415</v>
      </c>
      <c r="D370" s="16"/>
      <c r="E370" s="79"/>
      <c r="F370" s="123"/>
      <c r="G370" s="123"/>
      <c r="H370" s="79"/>
      <c r="I370" s="79"/>
      <c r="J370" s="79"/>
      <c r="K370" s="79"/>
      <c r="L370" s="107"/>
      <c r="M370" s="79"/>
      <c r="N370" s="235"/>
    </row>
    <row r="371" spans="2:14" hidden="1" x14ac:dyDescent="0.2">
      <c r="B371" s="253"/>
      <c r="C371" s="79"/>
      <c r="D371" s="79"/>
      <c r="E371" s="83" t="s">
        <v>294</v>
      </c>
      <c r="F371" s="83" t="s">
        <v>295</v>
      </c>
      <c r="G371" s="83" t="s">
        <v>296</v>
      </c>
      <c r="H371" s="83" t="s">
        <v>289</v>
      </c>
      <c r="I371" s="83"/>
      <c r="J371" s="79"/>
      <c r="K371" s="79"/>
      <c r="L371" s="79"/>
      <c r="M371" s="79"/>
      <c r="N371" s="235"/>
    </row>
    <row r="372" spans="2:14" hidden="1" x14ac:dyDescent="0.2">
      <c r="B372" s="253"/>
      <c r="C372" s="16"/>
      <c r="D372" s="146" t="s">
        <v>297</v>
      </c>
      <c r="E372" s="153">
        <v>6.9</v>
      </c>
      <c r="F372" s="153">
        <v>13.2</v>
      </c>
      <c r="G372" s="152">
        <f>IF(OR(E372="",F372=""),"",F372-E372)</f>
        <v>6.2999999999999989</v>
      </c>
      <c r="H372" s="152">
        <v>10</v>
      </c>
      <c r="I372" s="123"/>
      <c r="J372" s="79"/>
      <c r="K372" s="79"/>
      <c r="L372" s="105" t="str">
        <f>IF(G372="","",IF(ABS(G372)&lt;=H372,"PASS","FAIL"))</f>
        <v>PASS</v>
      </c>
      <c r="M372" s="79"/>
      <c r="N372" s="235"/>
    </row>
    <row r="373" spans="2:14" hidden="1" x14ac:dyDescent="0.2">
      <c r="B373" s="253"/>
      <c r="C373" s="79"/>
      <c r="D373" s="16" t="s">
        <v>298</v>
      </c>
      <c r="E373" s="112">
        <v>9.3000000000000007</v>
      </c>
      <c r="F373" s="153">
        <v>10.4</v>
      </c>
      <c r="G373" s="152">
        <f>IF(OR(E373="",F373=""),"",F373-E373)</f>
        <v>1.0999999999999996</v>
      </c>
      <c r="H373" s="152">
        <v>10</v>
      </c>
      <c r="I373" s="123"/>
      <c r="J373" s="79"/>
      <c r="K373" s="79"/>
      <c r="L373" s="105" t="str">
        <f>IF(G373="","",IF(ABS(G373)&lt;=H373,"PASS","FAIL"))</f>
        <v>PASS</v>
      </c>
      <c r="M373" s="79"/>
      <c r="N373" s="235"/>
    </row>
    <row r="374" spans="2:14" hidden="1" x14ac:dyDescent="0.2">
      <c r="B374" s="253"/>
      <c r="C374" s="79"/>
      <c r="D374" s="79"/>
      <c r="E374" s="79"/>
      <c r="F374" s="79"/>
      <c r="G374" s="123"/>
      <c r="H374" s="79"/>
      <c r="I374" s="79"/>
      <c r="J374" s="79"/>
      <c r="K374" s="79"/>
      <c r="L374" s="107"/>
      <c r="M374" s="79"/>
      <c r="N374" s="235"/>
    </row>
    <row r="375" spans="2:14" hidden="1" x14ac:dyDescent="0.2">
      <c r="B375" s="253"/>
      <c r="C375" s="108" t="s">
        <v>416</v>
      </c>
      <c r="D375" s="16"/>
      <c r="E375" s="79"/>
      <c r="F375" s="123"/>
      <c r="G375" s="123"/>
      <c r="H375" s="79"/>
      <c r="I375" s="79"/>
      <c r="J375" s="79"/>
      <c r="K375" s="79"/>
      <c r="L375" s="107"/>
      <c r="M375" s="79"/>
      <c r="N375" s="235"/>
    </row>
    <row r="376" spans="2:14" hidden="1" x14ac:dyDescent="0.2">
      <c r="B376" s="253"/>
      <c r="C376" s="79"/>
      <c r="D376" s="79"/>
      <c r="E376" s="83"/>
      <c r="F376" s="83" t="s">
        <v>340</v>
      </c>
      <c r="G376" s="83" t="s">
        <v>342</v>
      </c>
      <c r="H376" s="83"/>
      <c r="I376" s="79"/>
      <c r="J376" s="79"/>
      <c r="K376" s="79"/>
      <c r="L376" s="79"/>
      <c r="M376" s="79"/>
      <c r="N376" s="235"/>
    </row>
    <row r="377" spans="2:14" hidden="1" x14ac:dyDescent="0.2">
      <c r="B377" s="253"/>
      <c r="C377" s="16"/>
      <c r="D377" s="146" t="s">
        <v>339</v>
      </c>
      <c r="E377" s="152">
        <f>IF(OR(E361="",E363=""),"",E361-E363)</f>
        <v>453</v>
      </c>
      <c r="F377" s="152">
        <v>440</v>
      </c>
      <c r="G377" s="152">
        <v>20</v>
      </c>
      <c r="H377" s="123"/>
      <c r="I377" s="79"/>
      <c r="J377" s="79"/>
      <c r="K377" s="79"/>
      <c r="L377" s="105" t="str">
        <f>IF(E377="","",IF(100*ABS(E377-F377)/F377&lt;=G377,"PASS","FAIL"))</f>
        <v>PASS</v>
      </c>
      <c r="M377" s="79"/>
      <c r="N377" s="235"/>
    </row>
    <row r="378" spans="2:14" hidden="1" x14ac:dyDescent="0.2">
      <c r="B378" s="253"/>
      <c r="C378" s="79"/>
      <c r="D378" s="16" t="s">
        <v>341</v>
      </c>
      <c r="E378" s="152">
        <f>IF(OR(E373="",F373=""),"",AVERAGE(E373:F374))</f>
        <v>9.8500000000000014</v>
      </c>
      <c r="F378" s="152">
        <v>10</v>
      </c>
      <c r="G378" s="152">
        <v>20</v>
      </c>
      <c r="H378" s="123"/>
      <c r="I378" s="79"/>
      <c r="J378" s="79"/>
      <c r="K378" s="79"/>
      <c r="L378" s="105" t="str">
        <f>IF(E378="","",IF(100*ABS(E378-F378)/F378&lt;=G378,"PASS","FAIL"))</f>
        <v>PASS</v>
      </c>
      <c r="M378" s="79"/>
      <c r="N378" s="235"/>
    </row>
    <row r="379" spans="2:14" hidden="1" x14ac:dyDescent="0.2">
      <c r="B379" s="253"/>
      <c r="C379" s="79"/>
      <c r="D379" s="16" t="s">
        <v>274</v>
      </c>
      <c r="E379" s="152">
        <f>IF(OR(E377="",E378=""),"",E377/E378)</f>
        <v>45.989847715736033</v>
      </c>
      <c r="F379" s="152">
        <v>44</v>
      </c>
      <c r="G379" s="152">
        <v>20</v>
      </c>
      <c r="H379" s="79"/>
      <c r="I379" s="79"/>
      <c r="J379" s="79"/>
      <c r="K379" s="79"/>
      <c r="L379" s="105" t="str">
        <f>IF(E379="","",IF(100*ABS(E379-F379)/F379&lt;=G379,"PASS","FAIL"))</f>
        <v>PASS</v>
      </c>
      <c r="M379" s="79"/>
      <c r="N379" s="235"/>
    </row>
    <row r="380" spans="2:14" ht="13.5" hidden="1" thickBot="1" x14ac:dyDescent="0.25">
      <c r="B380" s="254"/>
      <c r="C380" s="255"/>
      <c r="D380" s="255"/>
      <c r="E380" s="255"/>
      <c r="F380" s="255"/>
      <c r="G380" s="256"/>
      <c r="H380" s="255"/>
      <c r="I380" s="255"/>
      <c r="J380" s="255"/>
      <c r="K380" s="255"/>
      <c r="L380" s="257"/>
      <c r="M380" s="255"/>
      <c r="N380" s="258"/>
    </row>
    <row r="381" spans="2:14" x14ac:dyDescent="0.2">
      <c r="B381" s="218"/>
      <c r="C381" s="218"/>
      <c r="D381" s="222"/>
      <c r="E381" s="222"/>
      <c r="F381" s="336" t="s">
        <v>299</v>
      </c>
      <c r="G381" s="337"/>
      <c r="H381" s="337"/>
      <c r="I381" s="223"/>
      <c r="J381" s="218"/>
      <c r="K381" s="218"/>
      <c r="L381" s="218"/>
      <c r="M381" s="218"/>
      <c r="N381" s="218"/>
    </row>
    <row r="382" spans="2:14" x14ac:dyDescent="0.2">
      <c r="B382" s="218"/>
      <c r="C382" s="218"/>
      <c r="D382" s="218"/>
      <c r="E382" s="218"/>
      <c r="F382" s="337"/>
      <c r="G382" s="337"/>
      <c r="H382" s="337"/>
      <c r="I382" s="218"/>
      <c r="J382" s="218"/>
      <c r="K382" s="218"/>
      <c r="L382" s="218"/>
      <c r="M382" s="218"/>
      <c r="N382" s="218"/>
    </row>
    <row r="383" spans="2:14" x14ac:dyDescent="0.2"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</row>
  </sheetData>
  <sheetProtection selectLockedCells="1"/>
  <customSheetViews>
    <customSheetView guid="{FA2D1B4E-F89E-4C35-9D43-0653EC39ACA4}" showPageBreaks="1" printArea="1">
      <selection activeCell="D32" sqref="D32"/>
      <rowBreaks count="4" manualBreakCount="4">
        <brk id="86" min="1" max="12" man="1"/>
        <brk id="167" min="1" max="12" man="1"/>
        <brk id="263" min="1" max="12" man="1"/>
        <brk id="342" min="1" max="12" man="1"/>
      </rowBreaks>
      <pageMargins left="0.19685039370078741" right="0.19685039370078741" top="0.19685039370078741" bottom="0.19685039370078741" header="0.19685039370078741" footer="0.19685039370078741"/>
      <printOptions horizontalCentered="1"/>
      <pageSetup scale="59" orientation="portrait" r:id="rId1"/>
      <headerFooter alignWithMargins="0">
        <oddFooter>&amp;RPage &amp;P of &amp;N</oddFooter>
      </headerFooter>
    </customSheetView>
  </customSheetViews>
  <mergeCells count="31">
    <mergeCell ref="L324:M324"/>
    <mergeCell ref="F381:H382"/>
    <mergeCell ref="F309:L309"/>
    <mergeCell ref="I351:M351"/>
    <mergeCell ref="F173:L174"/>
    <mergeCell ref="E291:M291"/>
    <mergeCell ref="L305:M305"/>
    <mergeCell ref="K340:L340"/>
    <mergeCell ref="K240:L240"/>
    <mergeCell ref="K273:L273"/>
    <mergeCell ref="L323:M323"/>
    <mergeCell ref="L213:M213"/>
    <mergeCell ref="L214:M214"/>
    <mergeCell ref="F308:L308"/>
    <mergeCell ref="E290:M290"/>
    <mergeCell ref="K293:L293"/>
    <mergeCell ref="D237:L238"/>
    <mergeCell ref="J27:M27"/>
    <mergeCell ref="J28:M28"/>
    <mergeCell ref="J29:M29"/>
    <mergeCell ref="H12:J12"/>
    <mergeCell ref="D188:L189"/>
    <mergeCell ref="C17:M19"/>
    <mergeCell ref="K24:L24"/>
    <mergeCell ref="K33:L33"/>
    <mergeCell ref="K103:L103"/>
    <mergeCell ref="K122:L122"/>
    <mergeCell ref="F15:G15"/>
    <mergeCell ref="F21:G21"/>
    <mergeCell ref="J31:M31"/>
    <mergeCell ref="J30:M30"/>
  </mergeCells>
  <phoneticPr fontId="2" type="noConversion"/>
  <conditionalFormatting sqref="E372:F373 E368 E351 G351 E355:E357 E361:E364 E319:H319 E287:E288 E282:E285 E290:E291 F291:M291 D305:I305 D337:I338 F259:H259 F267:G267 G271:H271 F255:H255 F251 H251 J251 E230:E232 F263:H263 C186 C181:C182 G186 C198 D161:I161 C206 E131:H134 E145:H146 C214:D214 C170:J170 H214 F214 G107 D107 G105 D105 K98:K100 D98:E99 E98:E100 G98:G100 E116:G120 F62:G66 G37 D37 G35 D35 F85:G88 E77 E55:F57 F21 L12:M12 C17:M19 F72:G72 I98:I100 E223:I226 E47:G50 C328:K329 J27:M31">
    <cfRule type="cellIs" dxfId="87" priority="209" stopIfTrue="1" operator="equal">
      <formula>""</formula>
    </cfRule>
  </conditionalFormatting>
  <conditionalFormatting sqref="H12:J12">
    <cfRule type="cellIs" dxfId="86" priority="210" stopIfTrue="1" operator="equal">
      <formula>$Q$6</formula>
    </cfRule>
  </conditionalFormatting>
  <conditionalFormatting sqref="M21">
    <cfRule type="cellIs" dxfId="85" priority="208" stopIfTrue="1" operator="equal">
      <formula>$Q$6</formula>
    </cfRule>
  </conditionalFormatting>
  <conditionalFormatting sqref="F308:F309 F173:L174">
    <cfRule type="cellIs" dxfId="84" priority="198" stopIfTrue="1" operator="equal">
      <formula>$Q$6</formula>
    </cfRule>
  </conditionalFormatting>
  <conditionalFormatting sqref="D237:L238 D188:L189">
    <cfRule type="cellIs" dxfId="83" priority="197" stopIfTrue="1" operator="equal">
      <formula>$Q$6</formula>
    </cfRule>
  </conditionalFormatting>
  <conditionalFormatting sqref="E227:I227 J305:K305 N305">
    <cfRule type="cellIs" dxfId="82" priority="90" stopIfTrue="1" operator="equal">
      <formula>$Q$8</formula>
    </cfRule>
  </conditionalFormatting>
  <conditionalFormatting sqref="I351:M351">
    <cfRule type="cellIs" dxfId="81" priority="80" stopIfTrue="1" operator="equal">
      <formula>$Q$6</formula>
    </cfRule>
  </conditionalFormatting>
  <conditionalFormatting sqref="J214">
    <cfRule type="cellIs" dxfId="80" priority="73" stopIfTrue="1" operator="equal">
      <formula>$Q$8</formula>
    </cfRule>
  </conditionalFormatting>
  <conditionalFormatting sqref="G351 L355:L365 L368:L380 H282:H285 E287:E288 J319 J337:J338 M251:N251 J255 J259 J263 J267 J271 E77 M47:N50 M62:N66 M72:N72 M85:N88 L98:L100 L55:L57 M116:N120 G230:G235 J305:K305 L328:N329 N305">
    <cfRule type="cellIs" dxfId="79" priority="67" stopIfTrue="1" operator="equal">
      <formula>"FAIL"</formula>
    </cfRule>
  </conditionalFormatting>
  <conditionalFormatting sqref="H27:H31">
    <cfRule type="cellIs" dxfId="78" priority="40" stopIfTrue="1" operator="equal">
      <formula>"NOT REVIEWED"</formula>
    </cfRule>
  </conditionalFormatting>
  <conditionalFormatting sqref="M47:N50 M62:N66 M72:N72 M85:N88 L98:L100 L55:L57 M116:N120">
    <cfRule type="cellIs" dxfId="77" priority="38" stopIfTrue="1" operator="equal">
      <formula>"MARGINAL"</formula>
    </cfRule>
  </conditionalFormatting>
  <conditionalFormatting sqref="K170">
    <cfRule type="cellIs" dxfId="76" priority="29" stopIfTrue="1" operator="equal">
      <formula>"FAIL"</formula>
    </cfRule>
  </conditionalFormatting>
  <conditionalFormatting sqref="J131:J137 J145:J147 L161 L186 F186 I186:J186 D198 D206 J214 E227:I227 G230:G235">
    <cfRule type="cellIs" dxfId="75" priority="28" stopIfTrue="1" operator="equal">
      <formula>"FAIL"</formula>
    </cfRule>
  </conditionalFormatting>
  <conditionalFormatting sqref="E226:I226">
    <cfRule type="cellIs" dxfId="74" priority="27" stopIfTrue="1" operator="equal">
      <formula>"FAIL"</formula>
    </cfRule>
  </conditionalFormatting>
  <conditionalFormatting sqref="K101 E101 G101 I101">
    <cfRule type="cellIs" dxfId="73" priority="26" stopIfTrue="1" operator="equal">
      <formula>""</formula>
    </cfRule>
  </conditionalFormatting>
  <conditionalFormatting sqref="L101">
    <cfRule type="cellIs" dxfId="72" priority="23" stopIfTrue="1" operator="equal">
      <formula>"FAIL"</formula>
    </cfRule>
  </conditionalFormatting>
  <conditionalFormatting sqref="L101">
    <cfRule type="cellIs" dxfId="71" priority="22" stopIfTrue="1" operator="equal">
      <formula>"MARGINAL"</formula>
    </cfRule>
  </conditionalFormatting>
  <conditionalFormatting sqref="L213:M214">
    <cfRule type="cellIs" dxfId="70" priority="21" stopIfTrue="1" operator="equal">
      <formula>$Q$6</formula>
    </cfRule>
  </conditionalFormatting>
  <conditionalFormatting sqref="L323:M324">
    <cfRule type="cellIs" dxfId="69" priority="20" stopIfTrue="1" operator="equal">
      <formula>$Q$6</formula>
    </cfRule>
  </conditionalFormatting>
  <conditionalFormatting sqref="K24:L24">
    <cfRule type="cellIs" dxfId="68" priority="19" stopIfTrue="1" operator="notEqual">
      <formula>""</formula>
    </cfRule>
  </conditionalFormatting>
  <conditionalFormatting sqref="K33:L33">
    <cfRule type="cellIs" dxfId="67" priority="18" stopIfTrue="1" operator="notEqual">
      <formula>""</formula>
    </cfRule>
  </conditionalFormatting>
  <conditionalFormatting sqref="K103:L103">
    <cfRule type="cellIs" dxfId="66" priority="17" stopIfTrue="1" operator="notEqual">
      <formula>""</formula>
    </cfRule>
  </conditionalFormatting>
  <conditionalFormatting sqref="K122:L122">
    <cfRule type="cellIs" dxfId="65" priority="16" stopIfTrue="1" operator="notEqual">
      <formula>""</formula>
    </cfRule>
  </conditionalFormatting>
  <conditionalFormatting sqref="K240:L240">
    <cfRule type="cellIs" dxfId="64" priority="15" stopIfTrue="1" operator="notEqual">
      <formula>""</formula>
    </cfRule>
  </conditionalFormatting>
  <conditionalFormatting sqref="K273:L273">
    <cfRule type="cellIs" dxfId="63" priority="14" stopIfTrue="1" operator="notEqual">
      <formula>""</formula>
    </cfRule>
  </conditionalFormatting>
  <conditionalFormatting sqref="K293:L293">
    <cfRule type="cellIs" dxfId="62" priority="13" stopIfTrue="1" operator="notEqual">
      <formula>""</formula>
    </cfRule>
  </conditionalFormatting>
  <conditionalFormatting sqref="K340:L340">
    <cfRule type="cellIs" dxfId="61" priority="12" stopIfTrue="1" operator="notEqual">
      <formula>""</formula>
    </cfRule>
  </conditionalFormatting>
  <conditionalFormatting sqref="F15 M15 H27:H31">
    <cfRule type="cellIs" dxfId="60" priority="11" stopIfTrue="1" operator="equal">
      <formula>""</formula>
    </cfRule>
  </conditionalFormatting>
  <conditionalFormatting sqref="G98:G100">
    <cfRule type="cellIs" dxfId="59" priority="10" stopIfTrue="1" operator="equal">
      <formula>""</formula>
    </cfRule>
  </conditionalFormatting>
  <conditionalFormatting sqref="G351 D206 J186 D198">
    <cfRule type="cellIs" dxfId="58" priority="215" stopIfTrue="1" operator="equal">
      <formula>$Q$6</formula>
    </cfRule>
    <cfRule type="cellIs" dxfId="57" priority="216" stopIfTrue="1" operator="equal">
      <formula>$Q$8</formula>
    </cfRule>
  </conditionalFormatting>
  <conditionalFormatting sqref="E235:F235">
    <cfRule type="cellIs" dxfId="56" priority="9" stopIfTrue="1" operator="equal">
      <formula>""</formula>
    </cfRule>
  </conditionalFormatting>
  <conditionalFormatting sqref="I235">
    <cfRule type="cellIs" dxfId="55" priority="8" stopIfTrue="1" operator="equal">
      <formula>"FAIL"</formula>
    </cfRule>
  </conditionalFormatting>
  <conditionalFormatting sqref="I235">
    <cfRule type="cellIs" dxfId="54" priority="7" stopIfTrue="1" operator="equal">
      <formula>"FAIL"</formula>
    </cfRule>
  </conditionalFormatting>
  <conditionalFormatting sqref="L305:M305">
    <cfRule type="cellIs" dxfId="53" priority="6" stopIfTrue="1" operator="equal">
      <formula>$Q$6</formula>
    </cfRule>
  </conditionalFormatting>
  <conditionalFormatting sqref="J15">
    <cfRule type="cellIs" dxfId="52" priority="4" stopIfTrue="1" operator="equal">
      <formula>$Q$8</formula>
    </cfRule>
    <cfRule type="cellIs" dxfId="51" priority="5" stopIfTrue="1" operator="equal">
      <formula>$Q$6</formula>
    </cfRule>
  </conditionalFormatting>
  <conditionalFormatting sqref="J15">
    <cfRule type="cellIs" dxfId="50" priority="3" stopIfTrue="1" operator="equal">
      <formula>""</formula>
    </cfRule>
  </conditionalFormatting>
  <conditionalFormatting sqref="F15:G15">
    <cfRule type="cellIs" dxfId="49" priority="1" stopIfTrue="1" operator="equal">
      <formula>"CONDITIONAL PASS"</formula>
    </cfRule>
    <cfRule type="cellIs" dxfId="48" priority="2" stopIfTrue="1" operator="equal">
      <formula>"FAIL"</formula>
    </cfRule>
  </conditionalFormatting>
  <dataValidations count="13">
    <dataValidation type="list" allowBlank="1" showInputMessage="1" showErrorMessage="1" sqref="H305 E77 G351 D198 D206 E226:I226 J186 E287:E288">
      <formula1>List_Status3</formula1>
    </dataValidation>
    <dataValidation type="list" allowBlank="1" showInputMessage="1" showErrorMessage="1" sqref="I305 J170 J15 M15">
      <formula1>List_Status4</formula1>
    </dataValidation>
    <dataValidation type="list" allowBlank="1" showInputMessage="1" showErrorMessage="1" sqref="G107 G37">
      <formula1>List_Electrometers</formula1>
    </dataValidation>
    <dataValidation type="list" allowBlank="1" showInputMessage="1" showErrorMessage="1" sqref="D107">
      <formula1>List_Markus_Probes</formula1>
    </dataValidation>
    <dataValidation type="list" allowBlank="1" showInputMessage="1" showErrorMessage="1" sqref="D37">
      <formula1>List_Farmer_Probes</formula1>
    </dataValidation>
    <dataValidation type="list" allowBlank="1" showInputMessage="1" showErrorMessage="1" sqref="K24:L24 F21">
      <formula1>List_Personnel</formula1>
    </dataValidation>
    <dataValidation type="list" allowBlank="1" showInputMessage="1" showErrorMessage="1" sqref="M12">
      <formula1>List_Year</formula1>
    </dataValidation>
    <dataValidation type="list" allowBlank="1" showInputMessage="1" showErrorMessage="1" sqref="L12">
      <formula1>List_Month</formula1>
    </dataValidation>
    <dataValidation type="list" allowBlank="1" showInputMessage="1" showErrorMessage="1" sqref="H12:J12">
      <formula1>List_Machine</formula1>
    </dataValidation>
    <dataValidation type="list" allowBlank="1" showInputMessage="1" showErrorMessage="1" sqref="H27:H31">
      <formula1>List_Status2</formula1>
    </dataValidation>
    <dataValidation type="list" allowBlank="1" showInputMessage="1" showErrorMessage="1" sqref="K33:L33 K103:L103 K122:L122 K240:L240 K273:L273 K293:L293 K340:L340">
      <formula1>List_Student</formula1>
    </dataValidation>
    <dataValidation type="date" operator="greaterThan" allowBlank="1" showInputMessage="1" showErrorMessage="1" sqref="M21">
      <formula1>36526</formula1>
    </dataValidation>
    <dataValidation type="list" allowBlank="1" showInputMessage="1" showErrorMessage="1" sqref="F15:G15">
      <formula1>List_Status1</formula1>
    </dataValidation>
  </dataValidations>
  <printOptions horizontalCentered="1"/>
  <pageMargins left="0.19685039370078741" right="0.19685039370078741" top="0.19685039370078741" bottom="0.19685039370078741" header="0.19685039370078741" footer="0.19685039370078741"/>
  <pageSetup scale="59" orientation="portrait" r:id="rId2"/>
  <headerFooter alignWithMargins="0">
    <oddFooter>&amp;RPage &amp;P of &amp;N</oddFooter>
  </headerFooter>
  <rowBreaks count="2" manualBreakCount="2">
    <brk id="102" min="1" max="12" man="1"/>
    <brk id="163" min="1" max="12" man="1"/>
  </rowBreaks>
  <drawing r:id="rId3"/>
  <legacyDrawing r:id="rId4"/>
  <controls>
    <mc:AlternateContent xmlns:mc="http://schemas.openxmlformats.org/markup-compatibility/2006">
      <mc:Choice Requires="x14">
        <control shapeId="1136" r:id="rId5" name="cmdClear">
          <controlPr locked="0" defaultSize="0" autoLine="0" r:id="rId6">
            <anchor moveWithCells="1">
              <from>
                <xdr:col>4</xdr:col>
                <xdr:colOff>28575</xdr:colOff>
                <xdr:row>5</xdr:row>
                <xdr:rowOff>47625</xdr:rowOff>
              </from>
              <to>
                <xdr:col>5</xdr:col>
                <xdr:colOff>295275</xdr:colOff>
                <xdr:row>7</xdr:row>
                <xdr:rowOff>57150</xdr:rowOff>
              </to>
            </anchor>
          </controlPr>
        </control>
      </mc:Choice>
      <mc:Fallback>
        <control shapeId="1136" r:id="rId5" name="cmdClear"/>
      </mc:Fallback>
    </mc:AlternateContent>
    <mc:AlternateContent xmlns:mc="http://schemas.openxmlformats.org/markup-compatibility/2006">
      <mc:Choice Requires="x14">
        <control shapeId="1144" r:id="rId7" name="cmdPrint">
          <controlPr locked="0" defaultSize="0" autoLine="0" r:id="rId8">
            <anchor moveWithCells="1">
              <from>
                <xdr:col>11</xdr:col>
                <xdr:colOff>304800</xdr:colOff>
                <xdr:row>5</xdr:row>
                <xdr:rowOff>38100</xdr:rowOff>
              </from>
              <to>
                <xdr:col>12</xdr:col>
                <xdr:colOff>542925</xdr:colOff>
                <xdr:row>7</xdr:row>
                <xdr:rowOff>38100</xdr:rowOff>
              </to>
            </anchor>
          </controlPr>
        </control>
      </mc:Choice>
      <mc:Fallback>
        <control shapeId="1144" r:id="rId7" name="cmdPrint"/>
      </mc:Fallback>
    </mc:AlternateContent>
    <mc:AlternateContent xmlns:mc="http://schemas.openxmlformats.org/markup-compatibility/2006">
      <mc:Choice Requires="x14">
        <control shapeId="1148" r:id="rId9" name="cmdOPTrend">
          <controlPr locked="0" defaultSize="0" autoLine="0" r:id="rId10">
            <anchor moveWithCells="1">
              <from>
                <xdr:col>8</xdr:col>
                <xdr:colOff>133350</xdr:colOff>
                <xdr:row>5</xdr:row>
                <xdr:rowOff>28575</xdr:rowOff>
              </from>
              <to>
                <xdr:col>9</xdr:col>
                <xdr:colOff>323850</xdr:colOff>
                <xdr:row>7</xdr:row>
                <xdr:rowOff>57150</xdr:rowOff>
              </to>
            </anchor>
          </controlPr>
        </control>
      </mc:Choice>
      <mc:Fallback>
        <control shapeId="1148" r:id="rId9" name="cmdOPTrend"/>
      </mc:Fallback>
    </mc:AlternateContent>
    <mc:AlternateContent xmlns:mc="http://schemas.openxmlformats.org/markup-compatibility/2006">
      <mc:Choice Requires="x14">
        <control shapeId="1187" r:id="rId11" name="cmdSave">
          <controlPr locked="0" defaultSize="0" autoLine="0" r:id="rId12">
            <anchor moveWithCells="1">
              <from>
                <xdr:col>9</xdr:col>
                <xdr:colOff>600075</xdr:colOff>
                <xdr:row>5</xdr:row>
                <xdr:rowOff>38100</xdr:rowOff>
              </from>
              <to>
                <xdr:col>11</xdr:col>
                <xdr:colOff>57150</xdr:colOff>
                <xdr:row>7</xdr:row>
                <xdr:rowOff>57150</xdr:rowOff>
              </to>
            </anchor>
          </controlPr>
        </control>
      </mc:Choice>
      <mc:Fallback>
        <control shapeId="1187" r:id="rId11" name="cmdSave"/>
      </mc:Fallback>
    </mc:AlternateContent>
    <mc:AlternateContent xmlns:mc="http://schemas.openxmlformats.org/markup-compatibility/2006">
      <mc:Choice Requires="x14">
        <control shapeId="14602" r:id="rId13" name="lbl_Audit">
          <controlPr defaultSize="0" autoFill="0" autoLine="0" r:id="rId14">
            <anchor moveWithCells="1">
              <from>
                <xdr:col>12</xdr:col>
                <xdr:colOff>581025</xdr:colOff>
                <xdr:row>23</xdr:row>
                <xdr:rowOff>28575</xdr:rowOff>
              </from>
              <to>
                <xdr:col>12</xdr:col>
                <xdr:colOff>733425</xdr:colOff>
                <xdr:row>24</xdr:row>
                <xdr:rowOff>0</xdr:rowOff>
              </to>
            </anchor>
          </controlPr>
        </control>
      </mc:Choice>
      <mc:Fallback>
        <control shapeId="14602" r:id="rId13" name="lbl_Audit"/>
      </mc:Fallback>
    </mc:AlternateContent>
    <mc:AlternateContent xmlns:mc="http://schemas.openxmlformats.org/markup-compatibility/2006">
      <mc:Choice Requires="x14">
        <control shapeId="14709" r:id="rId15" name="lbl_Xray_Outputs">
          <controlPr defaultSize="0" autoFill="0" autoLine="0" r:id="rId16">
            <anchor moveWithCells="1">
              <from>
                <xdr:col>12</xdr:col>
                <xdr:colOff>571500</xdr:colOff>
                <xdr:row>32</xdr:row>
                <xdr:rowOff>19050</xdr:rowOff>
              </from>
              <to>
                <xdr:col>12</xdr:col>
                <xdr:colOff>723900</xdr:colOff>
                <xdr:row>32</xdr:row>
                <xdr:rowOff>190500</xdr:rowOff>
              </to>
            </anchor>
          </controlPr>
        </control>
      </mc:Choice>
      <mc:Fallback>
        <control shapeId="14709" r:id="rId15" name="lbl_Xray_Outputs"/>
      </mc:Fallback>
    </mc:AlternateContent>
    <mc:AlternateContent xmlns:mc="http://schemas.openxmlformats.org/markup-compatibility/2006">
      <mc:Choice Requires="x14">
        <control shapeId="14736" r:id="rId17" name="lbl_Electron_Outputs">
          <controlPr defaultSize="0" autoFill="0" autoLine="0" r:id="rId16">
            <anchor moveWithCells="1">
              <from>
                <xdr:col>12</xdr:col>
                <xdr:colOff>581025</xdr:colOff>
                <xdr:row>102</xdr:row>
                <xdr:rowOff>28575</xdr:rowOff>
              </from>
              <to>
                <xdr:col>12</xdr:col>
                <xdr:colOff>733425</xdr:colOff>
                <xdr:row>103</xdr:row>
                <xdr:rowOff>0</xdr:rowOff>
              </to>
            </anchor>
          </controlPr>
        </control>
      </mc:Choice>
      <mc:Fallback>
        <control shapeId="14736" r:id="rId17" name="lbl_Electron_Outputs"/>
      </mc:Fallback>
    </mc:AlternateContent>
    <mc:AlternateContent xmlns:mc="http://schemas.openxmlformats.org/markup-compatibility/2006">
      <mc:Choice Requires="x14">
        <control shapeId="14738" r:id="rId18" name="lbl_MVD_Measurements">
          <controlPr defaultSize="0" autoFill="0" autoLine="0" r:id="rId14">
            <anchor moveWithCells="1">
              <from>
                <xdr:col>12</xdr:col>
                <xdr:colOff>581025</xdr:colOff>
                <xdr:row>121</xdr:row>
                <xdr:rowOff>28575</xdr:rowOff>
              </from>
              <to>
                <xdr:col>12</xdr:col>
                <xdr:colOff>733425</xdr:colOff>
                <xdr:row>122</xdr:row>
                <xdr:rowOff>0</xdr:rowOff>
              </to>
            </anchor>
          </controlPr>
        </control>
      </mc:Choice>
      <mc:Fallback>
        <control shapeId="14738" r:id="rId18" name="lbl_MVD_Measurements"/>
      </mc:Fallback>
    </mc:AlternateContent>
    <mc:AlternateContent xmlns:mc="http://schemas.openxmlformats.org/markup-compatibility/2006">
      <mc:Choice Requires="x14">
        <control shapeId="14811" r:id="rId19" name="lbl_Registration">
          <controlPr defaultSize="0" autoFill="0" autoLine="0" r:id="rId14">
            <anchor moveWithCells="1">
              <from>
                <xdr:col>12</xdr:col>
                <xdr:colOff>581025</xdr:colOff>
                <xdr:row>239</xdr:row>
                <xdr:rowOff>28575</xdr:rowOff>
              </from>
              <to>
                <xdr:col>12</xdr:col>
                <xdr:colOff>733425</xdr:colOff>
                <xdr:row>240</xdr:row>
                <xdr:rowOff>0</xdr:rowOff>
              </to>
            </anchor>
          </controlPr>
        </control>
      </mc:Choice>
      <mc:Fallback>
        <control shapeId="14811" r:id="rId19" name="lbl_Registration"/>
      </mc:Fallback>
    </mc:AlternateContent>
    <mc:AlternateContent xmlns:mc="http://schemas.openxmlformats.org/markup-compatibility/2006">
      <mc:Choice Requires="x14">
        <control shapeId="14832" r:id="rId20" name="lbl_Motion_Management">
          <controlPr defaultSize="0" autoFill="0" autoLine="0" r:id="rId14">
            <anchor moveWithCells="1">
              <from>
                <xdr:col>12</xdr:col>
                <xdr:colOff>581025</xdr:colOff>
                <xdr:row>272</xdr:row>
                <xdr:rowOff>28575</xdr:rowOff>
              </from>
              <to>
                <xdr:col>12</xdr:col>
                <xdr:colOff>733425</xdr:colOff>
                <xdr:row>273</xdr:row>
                <xdr:rowOff>0</xdr:rowOff>
              </to>
            </anchor>
          </controlPr>
        </control>
      </mc:Choice>
      <mc:Fallback>
        <control shapeId="14832" r:id="rId20" name="lbl_Motion_Management"/>
      </mc:Fallback>
    </mc:AlternateContent>
    <mc:AlternateContent xmlns:mc="http://schemas.openxmlformats.org/markup-compatibility/2006">
      <mc:Choice Requires="x14">
        <control shapeId="14893" r:id="rId21" name="lbl_KV_Planar">
          <controlPr defaultSize="0" autoFill="0" autoLine="0" r:id="rId14">
            <anchor moveWithCells="1">
              <from>
                <xdr:col>12</xdr:col>
                <xdr:colOff>581025</xdr:colOff>
                <xdr:row>292</xdr:row>
                <xdr:rowOff>28575</xdr:rowOff>
              </from>
              <to>
                <xdr:col>12</xdr:col>
                <xdr:colOff>733425</xdr:colOff>
                <xdr:row>293</xdr:row>
                <xdr:rowOff>0</xdr:rowOff>
              </to>
            </anchor>
          </controlPr>
        </control>
      </mc:Choice>
      <mc:Fallback>
        <control shapeId="14893" r:id="rId21" name="lbl_KV_Planar"/>
      </mc:Fallback>
    </mc:AlternateContent>
    <mc:AlternateContent xmlns:mc="http://schemas.openxmlformats.org/markup-compatibility/2006">
      <mc:Choice Requires="x14">
        <control shapeId="14894" r:id="rId22" name="lbl_CBCT">
          <controlPr defaultSize="0" autoFill="0" autoLine="0" r:id="rId14">
            <anchor moveWithCells="1">
              <from>
                <xdr:col>12</xdr:col>
                <xdr:colOff>581025</xdr:colOff>
                <xdr:row>339</xdr:row>
                <xdr:rowOff>28575</xdr:rowOff>
              </from>
              <to>
                <xdr:col>12</xdr:col>
                <xdr:colOff>733425</xdr:colOff>
                <xdr:row>340</xdr:row>
                <xdr:rowOff>0</xdr:rowOff>
              </to>
            </anchor>
          </controlPr>
        </control>
      </mc:Choice>
      <mc:Fallback>
        <control shapeId="14894" r:id="rId22" name="lbl_CBC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N86"/>
  <sheetViews>
    <sheetView topLeftCell="A28" zoomScale="115" zoomScaleNormal="115" workbookViewId="0">
      <pane xSplit="32505" topLeftCell="Y1"/>
      <selection activeCell="B52" sqref="B52"/>
      <selection pane="topRight" activeCell="Y1" sqref="Y1"/>
    </sheetView>
  </sheetViews>
  <sheetFormatPr defaultRowHeight="12.75" x14ac:dyDescent="0.2"/>
  <cols>
    <col min="1" max="36" width="10.7109375" customWidth="1"/>
  </cols>
  <sheetData>
    <row r="1" spans="1:21" s="188" customFormat="1" x14ac:dyDescent="0.2">
      <c r="A1" s="188" t="s">
        <v>429</v>
      </c>
      <c r="C1" s="188" t="s">
        <v>1</v>
      </c>
      <c r="D1" s="189" t="s">
        <v>14</v>
      </c>
      <c r="E1" s="188" t="s">
        <v>136</v>
      </c>
      <c r="L1" s="188" t="s">
        <v>139</v>
      </c>
      <c r="M1" s="188" t="s">
        <v>430</v>
      </c>
      <c r="O1" s="188" t="s">
        <v>431</v>
      </c>
      <c r="Q1" s="188" t="s">
        <v>432</v>
      </c>
      <c r="S1" s="188" t="s">
        <v>433</v>
      </c>
      <c r="U1" s="188" t="s">
        <v>471</v>
      </c>
    </row>
    <row r="2" spans="1:21" x14ac:dyDescent="0.2">
      <c r="A2" s="201" t="s">
        <v>526</v>
      </c>
      <c r="C2" t="s">
        <v>2</v>
      </c>
      <c r="D2" s="69">
        <v>2020</v>
      </c>
      <c r="E2" t="s">
        <v>110</v>
      </c>
      <c r="L2" s="69">
        <f>Main!M12</f>
        <v>2023</v>
      </c>
      <c r="M2" t="s">
        <v>22</v>
      </c>
      <c r="O2" s="111" t="s">
        <v>417</v>
      </c>
      <c r="Q2" t="s">
        <v>22</v>
      </c>
      <c r="S2" s="111" t="s">
        <v>91</v>
      </c>
      <c r="U2" s="111" t="s">
        <v>523</v>
      </c>
    </row>
    <row r="3" spans="1:21" x14ac:dyDescent="0.2">
      <c r="A3" t="s">
        <v>18</v>
      </c>
      <c r="C3" t="s">
        <v>3</v>
      </c>
      <c r="D3" s="69">
        <v>2021</v>
      </c>
      <c r="E3" t="s">
        <v>125</v>
      </c>
      <c r="M3" t="s">
        <v>23</v>
      </c>
      <c r="O3" s="111" t="s">
        <v>434</v>
      </c>
      <c r="Q3" t="s">
        <v>23</v>
      </c>
      <c r="S3" s="111" t="s">
        <v>92</v>
      </c>
      <c r="U3" s="111" t="s">
        <v>521</v>
      </c>
    </row>
    <row r="4" spans="1:21" x14ac:dyDescent="0.2">
      <c r="A4" t="s">
        <v>517</v>
      </c>
      <c r="C4" t="s">
        <v>4</v>
      </c>
      <c r="D4" s="69">
        <v>2022</v>
      </c>
      <c r="E4" t="s">
        <v>126</v>
      </c>
      <c r="M4" t="s">
        <v>112</v>
      </c>
      <c r="Q4" s="111" t="s">
        <v>186</v>
      </c>
      <c r="U4" s="111" t="s">
        <v>524</v>
      </c>
    </row>
    <row r="5" spans="1:21" x14ac:dyDescent="0.2">
      <c r="A5" t="s">
        <v>21</v>
      </c>
      <c r="C5" t="s">
        <v>5</v>
      </c>
      <c r="D5" s="69">
        <v>2023</v>
      </c>
      <c r="E5" t="s">
        <v>107</v>
      </c>
      <c r="M5" s="111"/>
      <c r="U5" s="111" t="s">
        <v>520</v>
      </c>
    </row>
    <row r="6" spans="1:21" x14ac:dyDescent="0.2">
      <c r="A6" s="111" t="s">
        <v>505</v>
      </c>
      <c r="C6" t="s">
        <v>6</v>
      </c>
      <c r="D6" s="69">
        <v>2024</v>
      </c>
      <c r="E6" t="s">
        <v>108</v>
      </c>
      <c r="J6" s="111"/>
      <c r="U6" s="201" t="s">
        <v>166</v>
      </c>
    </row>
    <row r="7" spans="1:21" x14ac:dyDescent="0.2">
      <c r="A7" s="111" t="s">
        <v>522</v>
      </c>
      <c r="C7" t="s">
        <v>7</v>
      </c>
      <c r="D7" s="69">
        <v>2025</v>
      </c>
      <c r="E7" t="s">
        <v>109</v>
      </c>
    </row>
    <row r="8" spans="1:21" x14ac:dyDescent="0.2">
      <c r="A8" t="s">
        <v>19</v>
      </c>
      <c r="C8" t="s">
        <v>8</v>
      </c>
      <c r="D8" s="69">
        <v>2026</v>
      </c>
      <c r="E8" t="s">
        <v>135</v>
      </c>
    </row>
    <row r="9" spans="1:21" x14ac:dyDescent="0.2">
      <c r="A9" t="s">
        <v>469</v>
      </c>
      <c r="C9" t="s">
        <v>9</v>
      </c>
      <c r="D9" s="69">
        <v>2027</v>
      </c>
      <c r="E9" t="str">
        <f>E8&amp; "\" &amp;L2&amp;"\Physicist Monthly"</f>
        <v>H:\Physics\Vicc\QA\Reports\2023\Physicist Monthly</v>
      </c>
    </row>
    <row r="10" spans="1:21" x14ac:dyDescent="0.2">
      <c r="A10" t="s">
        <v>17</v>
      </c>
      <c r="C10" t="s">
        <v>10</v>
      </c>
      <c r="D10" s="69">
        <v>2028</v>
      </c>
    </row>
    <row r="11" spans="1:21" x14ac:dyDescent="0.2">
      <c r="A11" s="111" t="s">
        <v>527</v>
      </c>
      <c r="C11" t="s">
        <v>11</v>
      </c>
      <c r="D11" s="69">
        <v>2029</v>
      </c>
      <c r="J11" s="111"/>
    </row>
    <row r="12" spans="1:21" x14ac:dyDescent="0.2">
      <c r="A12" t="s">
        <v>20</v>
      </c>
      <c r="C12" t="s">
        <v>12</v>
      </c>
      <c r="D12" s="69">
        <v>2030</v>
      </c>
    </row>
    <row r="13" spans="1:21" x14ac:dyDescent="0.2">
      <c r="A13" s="201" t="s">
        <v>513</v>
      </c>
      <c r="C13" t="s">
        <v>13</v>
      </c>
      <c r="D13" s="69">
        <v>2031</v>
      </c>
    </row>
    <row r="20" spans="1:40" x14ac:dyDescent="0.2">
      <c r="A20" s="188" t="s">
        <v>481</v>
      </c>
      <c r="B20" s="188"/>
      <c r="C20" s="188" t="s">
        <v>435</v>
      </c>
      <c r="D20" s="188"/>
      <c r="E20" s="188" t="s">
        <v>486</v>
      </c>
      <c r="F20" s="188"/>
      <c r="G20" s="188" t="s">
        <v>436</v>
      </c>
      <c r="H20" s="188"/>
      <c r="I20" s="188" t="s">
        <v>437</v>
      </c>
      <c r="J20" s="188"/>
      <c r="K20" s="188"/>
      <c r="L20" s="188"/>
      <c r="M20" s="188"/>
      <c r="N20" s="188"/>
      <c r="O20" s="188"/>
      <c r="P20" s="188"/>
      <c r="Q20" s="188"/>
      <c r="R20" s="188"/>
      <c r="S20" s="188"/>
    </row>
    <row r="21" spans="1:40" x14ac:dyDescent="0.2">
      <c r="A21" t="s">
        <v>127</v>
      </c>
      <c r="B21" s="69"/>
      <c r="C21" s="86" t="s">
        <v>438</v>
      </c>
      <c r="D21" s="69"/>
      <c r="E21" s="259" t="s">
        <v>487</v>
      </c>
      <c r="F21" s="259"/>
      <c r="G21" s="259">
        <v>1236</v>
      </c>
      <c r="H21" s="259"/>
      <c r="I21" s="262">
        <v>41092</v>
      </c>
      <c r="J21" s="69"/>
      <c r="K21" s="69"/>
      <c r="L21" s="69"/>
      <c r="M21" s="69"/>
      <c r="N21" s="69"/>
      <c r="O21" s="260"/>
      <c r="P21" s="69"/>
      <c r="Q21" s="69"/>
      <c r="R21" s="69"/>
      <c r="S21" s="69"/>
    </row>
    <row r="22" spans="1:40" x14ac:dyDescent="0.2">
      <c r="A22" t="s">
        <v>128</v>
      </c>
      <c r="C22" s="86" t="s">
        <v>438</v>
      </c>
      <c r="E22" s="259" t="s">
        <v>487</v>
      </c>
      <c r="F22" s="259"/>
      <c r="G22" s="259">
        <v>1317</v>
      </c>
      <c r="H22" s="261"/>
      <c r="I22" s="262">
        <v>41204</v>
      </c>
      <c r="O22" s="260"/>
    </row>
    <row r="23" spans="1:40" x14ac:dyDescent="0.2">
      <c r="A23" t="s">
        <v>131</v>
      </c>
      <c r="C23" s="86" t="s">
        <v>438</v>
      </c>
      <c r="E23" s="259" t="s">
        <v>487</v>
      </c>
      <c r="F23" s="259"/>
      <c r="G23" s="259">
        <v>1394</v>
      </c>
      <c r="H23" s="261"/>
      <c r="I23" s="262">
        <v>41337</v>
      </c>
      <c r="O23" s="260"/>
    </row>
    <row r="24" spans="1:40" x14ac:dyDescent="0.2">
      <c r="A24" t="s">
        <v>132</v>
      </c>
      <c r="C24" s="86" t="s">
        <v>438</v>
      </c>
      <c r="E24" s="259" t="s">
        <v>487</v>
      </c>
      <c r="F24" s="259"/>
      <c r="G24" s="259">
        <v>1550</v>
      </c>
      <c r="H24" s="261"/>
      <c r="I24" s="262">
        <v>41575</v>
      </c>
      <c r="O24" s="260"/>
    </row>
    <row r="25" spans="1:40" x14ac:dyDescent="0.2">
      <c r="A25" t="s">
        <v>133</v>
      </c>
      <c r="C25" s="86" t="s">
        <v>438</v>
      </c>
      <c r="E25" s="259" t="s">
        <v>487</v>
      </c>
      <c r="F25" s="259"/>
      <c r="G25" s="259">
        <v>1468</v>
      </c>
      <c r="H25" s="261"/>
      <c r="I25" s="262">
        <v>41450</v>
      </c>
      <c r="O25" s="260"/>
    </row>
    <row r="26" spans="1:40" x14ac:dyDescent="0.2">
      <c r="A26" t="s">
        <v>134</v>
      </c>
      <c r="C26" s="86" t="s">
        <v>438</v>
      </c>
      <c r="E26" s="259" t="s">
        <v>487</v>
      </c>
      <c r="F26" s="259"/>
      <c r="G26" s="259">
        <v>1653</v>
      </c>
      <c r="H26" s="261"/>
      <c r="I26" s="262">
        <v>41799</v>
      </c>
      <c r="O26" s="260"/>
      <c r="R26" s="188"/>
    </row>
    <row r="27" spans="1:40" x14ac:dyDescent="0.2">
      <c r="R27" s="188"/>
    </row>
    <row r="29" spans="1:40" x14ac:dyDescent="0.2">
      <c r="W29" s="188"/>
      <c r="X29" s="188"/>
    </row>
    <row r="30" spans="1:40" ht="14.25" x14ac:dyDescent="0.25">
      <c r="A30" s="189" t="s">
        <v>29</v>
      </c>
      <c r="B30" s="189" t="s">
        <v>113</v>
      </c>
      <c r="C30" s="189" t="s">
        <v>439</v>
      </c>
      <c r="D30" s="189" t="s">
        <v>130</v>
      </c>
      <c r="E30" s="190" t="s">
        <v>480</v>
      </c>
      <c r="F30" s="188"/>
      <c r="G30" s="189" t="s">
        <v>29</v>
      </c>
      <c r="H30" s="189" t="s">
        <v>113</v>
      </c>
      <c r="I30" s="189" t="s">
        <v>439</v>
      </c>
      <c r="J30" s="189" t="s">
        <v>130</v>
      </c>
      <c r="K30" s="6" t="s">
        <v>480</v>
      </c>
      <c r="L30" s="189"/>
      <c r="M30" s="189" t="s">
        <v>36</v>
      </c>
      <c r="N30" s="189" t="s">
        <v>113</v>
      </c>
      <c r="O30" s="189" t="s">
        <v>440</v>
      </c>
      <c r="P30" s="189" t="s">
        <v>130</v>
      </c>
      <c r="Q30" s="188"/>
      <c r="R30" s="189"/>
      <c r="S30" s="188" t="s">
        <v>483</v>
      </c>
      <c r="T30" s="188"/>
      <c r="U30" s="188"/>
      <c r="V30" s="188"/>
      <c r="W30" s="188"/>
      <c r="X30" s="188"/>
      <c r="AA30" s="189" t="s">
        <v>484</v>
      </c>
      <c r="AB30" s="69"/>
      <c r="AC30" s="69"/>
      <c r="AD30" s="69"/>
      <c r="AE30" s="69"/>
      <c r="AF30" s="69"/>
      <c r="AG30" s="69"/>
    </row>
    <row r="31" spans="1:40" x14ac:dyDescent="0.2">
      <c r="A31" s="69" t="s">
        <v>307</v>
      </c>
      <c r="B31" s="70" t="s">
        <v>308</v>
      </c>
      <c r="C31" s="76">
        <v>5.3689999999999998</v>
      </c>
      <c r="D31" s="75">
        <v>44715</v>
      </c>
      <c r="E31" s="169">
        <f t="shared" ref="E31:E36" si="0">C31/$C$31</f>
        <v>1</v>
      </c>
      <c r="G31" s="69" t="s">
        <v>35</v>
      </c>
      <c r="H31" s="70" t="s">
        <v>115</v>
      </c>
      <c r="I31" s="129">
        <v>53.13</v>
      </c>
      <c r="J31" s="200">
        <v>43181</v>
      </c>
      <c r="K31" s="169">
        <f>I31/$I$31</f>
        <v>1</v>
      </c>
      <c r="L31" s="75"/>
      <c r="M31" s="69" t="s">
        <v>116</v>
      </c>
      <c r="N31" s="70">
        <v>50095</v>
      </c>
      <c r="O31" s="76">
        <v>1</v>
      </c>
      <c r="P31" s="75">
        <v>40879</v>
      </c>
      <c r="R31" s="69"/>
      <c r="S31" s="135" t="s">
        <v>481</v>
      </c>
      <c r="T31" s="135" t="s">
        <v>482</v>
      </c>
      <c r="U31" s="135">
        <v>6</v>
      </c>
      <c r="V31" s="135">
        <v>10</v>
      </c>
      <c r="W31" s="135">
        <v>15</v>
      </c>
      <c r="X31" s="135" t="s">
        <v>137</v>
      </c>
      <c r="AA31" s="135" t="s">
        <v>481</v>
      </c>
      <c r="AB31" s="135" t="s">
        <v>482</v>
      </c>
      <c r="AC31" s="135" t="s">
        <v>175</v>
      </c>
      <c r="AD31" s="135" t="s">
        <v>176</v>
      </c>
      <c r="AE31" s="135" t="s">
        <v>177</v>
      </c>
      <c r="AF31" s="135" t="s">
        <v>178</v>
      </c>
      <c r="AG31" s="135" t="s">
        <v>179</v>
      </c>
    </row>
    <row r="32" spans="1:40" x14ac:dyDescent="0.2">
      <c r="A32" s="69" t="s">
        <v>34</v>
      </c>
      <c r="B32" s="70">
        <v>1905</v>
      </c>
      <c r="C32" s="76">
        <v>5.3730000000000002</v>
      </c>
      <c r="D32" s="75">
        <v>43154</v>
      </c>
      <c r="E32" s="169">
        <f t="shared" si="0"/>
        <v>1.0007450176941703</v>
      </c>
      <c r="G32" s="69" t="s">
        <v>31</v>
      </c>
      <c r="H32" s="70" t="s">
        <v>114</v>
      </c>
      <c r="I32" s="129">
        <v>56.9</v>
      </c>
      <c r="J32" s="200">
        <v>43159</v>
      </c>
      <c r="K32" s="169">
        <f>I32/$I$31</f>
        <v>1.0709580274797665</v>
      </c>
      <c r="L32" s="75"/>
      <c r="M32" s="69" t="s">
        <v>117</v>
      </c>
      <c r="N32" s="70" t="s">
        <v>120</v>
      </c>
      <c r="O32" s="76">
        <v>1.0009999999999999</v>
      </c>
      <c r="P32" s="75">
        <v>36861</v>
      </c>
      <c r="R32" s="69"/>
      <c r="S32" s="69" t="s">
        <v>127</v>
      </c>
      <c r="T32" s="76" t="s">
        <v>307</v>
      </c>
      <c r="U32" s="69">
        <v>6.98</v>
      </c>
      <c r="V32" s="86">
        <v>6.32</v>
      </c>
      <c r="W32" s="129">
        <v>6.08</v>
      </c>
      <c r="X32" s="129">
        <v>6.69</v>
      </c>
      <c r="AA32" s="69" t="s">
        <v>127</v>
      </c>
      <c r="AB32" s="69" t="s">
        <v>35</v>
      </c>
      <c r="AC32" s="74">
        <v>51.8</v>
      </c>
      <c r="AD32" s="74">
        <v>51.8</v>
      </c>
      <c r="AE32" s="74">
        <v>49.4</v>
      </c>
      <c r="AF32" s="74">
        <v>47.9</v>
      </c>
      <c r="AG32" s="74">
        <v>46.8</v>
      </c>
      <c r="AJ32" s="74"/>
      <c r="AK32" s="74"/>
      <c r="AL32" s="74"/>
      <c r="AM32" s="74"/>
      <c r="AN32" s="74"/>
    </row>
    <row r="33" spans="1:40" x14ac:dyDescent="0.2">
      <c r="A33" s="69" t="s">
        <v>33</v>
      </c>
      <c r="B33" s="70">
        <v>2215</v>
      </c>
      <c r="C33" s="76">
        <v>5.38</v>
      </c>
      <c r="D33" s="75">
        <v>43154</v>
      </c>
      <c r="E33" s="169">
        <f t="shared" si="0"/>
        <v>1.0020487986589681</v>
      </c>
      <c r="G33" s="69" t="s">
        <v>181</v>
      </c>
      <c r="H33" s="69">
        <v>4249</v>
      </c>
      <c r="I33" s="129">
        <v>55.26</v>
      </c>
      <c r="J33" s="200">
        <v>43159</v>
      </c>
      <c r="K33" s="169">
        <f>I33/$I$31</f>
        <v>1.0400903444381704</v>
      </c>
      <c r="L33" s="75"/>
      <c r="M33" s="69" t="s">
        <v>118</v>
      </c>
      <c r="N33" s="70" t="s">
        <v>121</v>
      </c>
      <c r="O33" s="76">
        <v>1.0009999999999999</v>
      </c>
      <c r="P33" s="75">
        <v>36861</v>
      </c>
      <c r="S33" s="69" t="s">
        <v>128</v>
      </c>
      <c r="T33" s="76" t="s">
        <v>307</v>
      </c>
      <c r="U33" s="69">
        <v>6.96</v>
      </c>
      <c r="V33" s="86">
        <v>6.32</v>
      </c>
      <c r="W33" s="129">
        <v>6.07</v>
      </c>
      <c r="X33" s="129">
        <v>6.69</v>
      </c>
      <c r="AA33" s="69" t="s">
        <v>128</v>
      </c>
      <c r="AB33" s="69" t="s">
        <v>35</v>
      </c>
      <c r="AC33" s="74">
        <v>51.5</v>
      </c>
      <c r="AD33" s="74">
        <v>52</v>
      </c>
      <c r="AE33" s="74">
        <v>49.4</v>
      </c>
      <c r="AF33" s="74">
        <v>47.8</v>
      </c>
      <c r="AG33" s="74">
        <v>46.6</v>
      </c>
      <c r="AJ33" s="74"/>
      <c r="AK33" s="74"/>
      <c r="AL33" s="74"/>
      <c r="AM33" s="74"/>
      <c r="AN33" s="74"/>
    </row>
    <row r="34" spans="1:40" x14ac:dyDescent="0.2">
      <c r="A34" s="69" t="s">
        <v>32</v>
      </c>
      <c r="B34" s="70">
        <v>2216</v>
      </c>
      <c r="C34" s="76">
        <v>5.3710000000000004</v>
      </c>
      <c r="D34" s="75">
        <v>43154</v>
      </c>
      <c r="E34" s="169">
        <f t="shared" si="0"/>
        <v>1.0003725088470852</v>
      </c>
      <c r="G34" s="69" t="s">
        <v>182</v>
      </c>
      <c r="H34" s="69">
        <v>1305</v>
      </c>
      <c r="I34" s="129">
        <v>145.85</v>
      </c>
      <c r="J34" s="200">
        <v>43159</v>
      </c>
      <c r="K34" s="169">
        <f>I34/$I$31</f>
        <v>2.7451533973273103</v>
      </c>
      <c r="L34" s="75"/>
      <c r="M34" s="69" t="s">
        <v>119</v>
      </c>
      <c r="N34" s="70" t="s">
        <v>122</v>
      </c>
      <c r="O34" s="76">
        <v>1</v>
      </c>
      <c r="P34" s="75">
        <v>36861</v>
      </c>
      <c r="S34" s="69" t="s">
        <v>131</v>
      </c>
      <c r="T34" s="76" t="s">
        <v>307</v>
      </c>
      <c r="U34" s="69">
        <v>6.96</v>
      </c>
      <c r="V34" s="86">
        <v>6.32</v>
      </c>
      <c r="W34" s="129">
        <v>6.08</v>
      </c>
      <c r="X34" s="129">
        <v>6.69</v>
      </c>
      <c r="AA34" s="69" t="s">
        <v>131</v>
      </c>
      <c r="AB34" s="69" t="s">
        <v>35</v>
      </c>
      <c r="AC34" s="74">
        <v>51.8</v>
      </c>
      <c r="AD34" s="74">
        <v>52.3</v>
      </c>
      <c r="AE34" s="74">
        <v>49.5</v>
      </c>
      <c r="AF34" s="74">
        <v>48</v>
      </c>
      <c r="AG34" s="74">
        <v>46.8</v>
      </c>
      <c r="AJ34" s="74"/>
      <c r="AK34" s="74"/>
      <c r="AL34" s="74"/>
      <c r="AM34" s="74"/>
      <c r="AN34" s="74"/>
    </row>
    <row r="35" spans="1:40" x14ac:dyDescent="0.2">
      <c r="A35" s="69" t="s">
        <v>30</v>
      </c>
      <c r="B35" s="69">
        <v>2217</v>
      </c>
      <c r="C35" s="76">
        <v>5.3949999999999996</v>
      </c>
      <c r="D35" s="75">
        <v>43154</v>
      </c>
      <c r="E35" s="169">
        <f t="shared" si="0"/>
        <v>1.0048426150121066</v>
      </c>
      <c r="M35" s="69" t="s">
        <v>224</v>
      </c>
      <c r="N35" s="70" t="s">
        <v>226</v>
      </c>
      <c r="O35" s="76">
        <v>1</v>
      </c>
      <c r="P35" s="69" t="s">
        <v>225</v>
      </c>
      <c r="S35" s="69" t="s">
        <v>132</v>
      </c>
      <c r="T35" s="76" t="s">
        <v>307</v>
      </c>
      <c r="U35" s="69">
        <v>6.96</v>
      </c>
      <c r="V35" s="69">
        <v>6.32</v>
      </c>
      <c r="W35" s="69">
        <v>6.07</v>
      </c>
      <c r="X35" s="69">
        <v>6.69</v>
      </c>
    </row>
    <row r="36" spans="1:40" x14ac:dyDescent="0.2">
      <c r="A36" s="69" t="s">
        <v>129</v>
      </c>
      <c r="B36" s="69">
        <v>2359</v>
      </c>
      <c r="C36" s="76">
        <v>5.452</v>
      </c>
      <c r="D36" s="75">
        <v>43154</v>
      </c>
      <c r="E36" s="169">
        <f t="shared" si="0"/>
        <v>1.0154591171540324</v>
      </c>
      <c r="G36" s="69"/>
      <c r="H36" s="70"/>
      <c r="I36" s="74"/>
      <c r="J36" s="69"/>
      <c r="K36" s="69"/>
      <c r="L36" s="69"/>
      <c r="S36" s="69" t="s">
        <v>133</v>
      </c>
      <c r="T36" s="69" t="s">
        <v>307</v>
      </c>
      <c r="U36" s="69">
        <v>6.95</v>
      </c>
      <c r="V36" s="69">
        <v>6.31</v>
      </c>
      <c r="W36" s="69">
        <v>6.07</v>
      </c>
      <c r="X36" s="69">
        <v>6.68</v>
      </c>
    </row>
    <row r="37" spans="1:40" x14ac:dyDescent="0.2">
      <c r="A37" s="69"/>
      <c r="B37" s="70"/>
      <c r="C37" s="76"/>
      <c r="D37" s="75"/>
      <c r="E37" s="169"/>
      <c r="S37" s="86" t="s">
        <v>134</v>
      </c>
      <c r="T37" s="129" t="s">
        <v>307</v>
      </c>
      <c r="U37" s="69">
        <v>6.97</v>
      </c>
      <c r="V37" s="69">
        <v>6.31</v>
      </c>
      <c r="W37" s="69">
        <v>6.07</v>
      </c>
      <c r="X37" s="69">
        <v>6.68</v>
      </c>
    </row>
    <row r="38" spans="1:40" x14ac:dyDescent="0.2">
      <c r="C38" s="76"/>
      <c r="D38" s="284"/>
      <c r="E38" s="169"/>
      <c r="V38" s="86"/>
      <c r="W38" s="129"/>
      <c r="X38" s="129"/>
    </row>
    <row r="39" spans="1:40" x14ac:dyDescent="0.2">
      <c r="C39" s="76"/>
      <c r="D39" s="284"/>
      <c r="E39" s="169"/>
      <c r="G39" s="284"/>
      <c r="I39" s="285"/>
      <c r="U39" s="69"/>
      <c r="V39" s="86"/>
      <c r="W39" s="129"/>
      <c r="X39" s="129"/>
    </row>
    <row r="40" spans="1:40" x14ac:dyDescent="0.2">
      <c r="C40" s="76"/>
      <c r="D40" s="284"/>
      <c r="E40" s="169"/>
      <c r="G40" s="284"/>
      <c r="I40" s="285"/>
      <c r="U40" s="69"/>
      <c r="V40" s="86"/>
      <c r="W40" s="129"/>
      <c r="X40" s="129"/>
    </row>
    <row r="41" spans="1:40" x14ac:dyDescent="0.2">
      <c r="C41" s="76"/>
      <c r="D41" s="284"/>
      <c r="E41" s="169"/>
      <c r="G41" s="284"/>
      <c r="I41" s="285"/>
      <c r="U41" s="69"/>
      <c r="V41" s="86"/>
      <c r="W41" s="129"/>
      <c r="X41" s="129"/>
    </row>
    <row r="42" spans="1:40" x14ac:dyDescent="0.2">
      <c r="C42" s="76"/>
      <c r="D42" s="284"/>
      <c r="E42" s="169"/>
      <c r="G42" s="284"/>
      <c r="I42" s="285"/>
      <c r="U42" s="69"/>
      <c r="V42" s="69"/>
      <c r="W42" s="69"/>
      <c r="X42" s="69"/>
    </row>
    <row r="43" spans="1:40" x14ac:dyDescent="0.2">
      <c r="C43" s="76"/>
      <c r="D43" s="284"/>
      <c r="E43" s="169"/>
      <c r="G43" s="284"/>
      <c r="I43" s="285"/>
      <c r="U43" s="69"/>
      <c r="V43" s="69"/>
      <c r="W43" s="69"/>
      <c r="X43" s="69"/>
    </row>
    <row r="44" spans="1:40" x14ac:dyDescent="0.2">
      <c r="U44" s="69"/>
      <c r="V44" s="69"/>
      <c r="W44" s="69"/>
      <c r="X44" s="69"/>
    </row>
    <row r="50" spans="1:35" s="192" customFormat="1" x14ac:dyDescent="0.2">
      <c r="A50" s="189" t="s">
        <v>54</v>
      </c>
      <c r="B50" s="189"/>
      <c r="C50" s="189"/>
      <c r="D50" s="189" t="s">
        <v>138</v>
      </c>
      <c r="E50" s="189"/>
      <c r="F50" s="189"/>
      <c r="G50" s="189"/>
      <c r="H50" s="189"/>
      <c r="I50" s="189"/>
      <c r="J50" s="189" t="s">
        <v>148</v>
      </c>
      <c r="K50" s="191"/>
      <c r="L50" s="191"/>
      <c r="N50" s="189" t="s">
        <v>257</v>
      </c>
      <c r="O50" s="191"/>
      <c r="P50" s="191"/>
      <c r="Q50" s="191"/>
      <c r="U50" s="189" t="s">
        <v>382</v>
      </c>
      <c r="V50" s="193"/>
      <c r="W50" s="193"/>
      <c r="X50" s="193"/>
      <c r="Y50" s="193"/>
      <c r="Z50" s="193"/>
      <c r="AA50" s="193"/>
      <c r="AB50" s="193"/>
      <c r="AE50" s="188" t="s">
        <v>445</v>
      </c>
      <c r="AI50" s="188" t="s">
        <v>447</v>
      </c>
    </row>
    <row r="51" spans="1:35" x14ac:dyDescent="0.2">
      <c r="A51" s="69" t="s">
        <v>38</v>
      </c>
      <c r="B51" s="69" t="s">
        <v>52</v>
      </c>
      <c r="C51" s="69"/>
      <c r="D51" s="69" t="s">
        <v>38</v>
      </c>
      <c r="E51" s="69" t="s">
        <v>60</v>
      </c>
      <c r="F51" s="69" t="s">
        <v>59</v>
      </c>
      <c r="G51" s="86" t="s">
        <v>60</v>
      </c>
      <c r="H51" s="69" t="s">
        <v>357</v>
      </c>
      <c r="I51" s="69"/>
      <c r="J51" t="s">
        <v>318</v>
      </c>
      <c r="K51" s="168" t="s">
        <v>319</v>
      </c>
      <c r="L51" s="168" t="s">
        <v>320</v>
      </c>
      <c r="N51" s="140" t="s">
        <v>210</v>
      </c>
      <c r="O51" s="140" t="s">
        <v>258</v>
      </c>
      <c r="P51" s="141" t="s">
        <v>216</v>
      </c>
      <c r="Q51" s="142" t="s">
        <v>259</v>
      </c>
      <c r="R51" s="142" t="s">
        <v>223</v>
      </c>
      <c r="S51" s="142" t="s">
        <v>260</v>
      </c>
      <c r="U51" s="135" t="s">
        <v>38</v>
      </c>
      <c r="V51" s="135" t="s">
        <v>49</v>
      </c>
      <c r="W51" s="135" t="s">
        <v>348</v>
      </c>
      <c r="X51" s="135" t="s">
        <v>369</v>
      </c>
      <c r="Y51" s="135"/>
      <c r="Z51" s="135" t="s">
        <v>377</v>
      </c>
      <c r="AA51" s="135" t="s">
        <v>373</v>
      </c>
      <c r="AB51" s="135" t="s">
        <v>374</v>
      </c>
      <c r="AC51" s="135" t="s">
        <v>274</v>
      </c>
      <c r="AE51" s="135" t="s">
        <v>38</v>
      </c>
      <c r="AF51" s="135" t="s">
        <v>223</v>
      </c>
      <c r="AG51" s="135" t="s">
        <v>446</v>
      </c>
      <c r="AI51" s="135" t="s">
        <v>374</v>
      </c>
    </row>
    <row r="52" spans="1:35" x14ac:dyDescent="0.2">
      <c r="A52" s="69">
        <v>6</v>
      </c>
      <c r="B52" s="69">
        <v>0.65500000000000003</v>
      </c>
      <c r="C52" s="69"/>
      <c r="D52" s="69">
        <v>6</v>
      </c>
      <c r="E52" s="74">
        <v>1.5</v>
      </c>
      <c r="F52" s="69">
        <v>0.77100000000000002</v>
      </c>
      <c r="G52" s="69">
        <v>2.5</v>
      </c>
      <c r="H52" s="69">
        <v>0.78400000000000003</v>
      </c>
      <c r="I52" s="69"/>
      <c r="J52" s="86" t="s">
        <v>143</v>
      </c>
      <c r="K52" s="102">
        <v>7.46E-2</v>
      </c>
      <c r="L52" s="102">
        <v>6.6000000000000003E-2</v>
      </c>
      <c r="N52" s="86" t="s">
        <v>261</v>
      </c>
      <c r="O52" s="86" t="s">
        <v>214</v>
      </c>
      <c r="P52" s="86" t="s">
        <v>215</v>
      </c>
      <c r="Q52" s="69">
        <v>100</v>
      </c>
      <c r="R52" s="69">
        <v>300</v>
      </c>
      <c r="S52" s="76">
        <v>0.23</v>
      </c>
      <c r="U52" s="86" t="s">
        <v>375</v>
      </c>
      <c r="V52" s="86" t="s">
        <v>372</v>
      </c>
      <c r="W52" s="86" t="s">
        <v>380</v>
      </c>
      <c r="X52" s="178" t="s">
        <v>370</v>
      </c>
      <c r="Y52" s="178"/>
      <c r="Z52" s="178" t="s">
        <v>378</v>
      </c>
      <c r="AA52" s="129">
        <v>0.75</v>
      </c>
      <c r="AB52" s="129">
        <v>1</v>
      </c>
      <c r="AC52" s="129">
        <v>750</v>
      </c>
      <c r="AE52" s="129">
        <v>75</v>
      </c>
      <c r="AF52" s="129">
        <v>0.5</v>
      </c>
      <c r="AG52" s="129">
        <v>33</v>
      </c>
      <c r="AI52" s="129">
        <v>0.8</v>
      </c>
    </row>
    <row r="53" spans="1:35" x14ac:dyDescent="0.2">
      <c r="A53" s="69">
        <v>10</v>
      </c>
      <c r="B53" s="69">
        <v>0.69599999999999995</v>
      </c>
      <c r="C53" s="69"/>
      <c r="D53" s="69">
        <v>10</v>
      </c>
      <c r="E53" s="74">
        <v>2.5</v>
      </c>
      <c r="F53" s="69">
        <v>0.84099999999999997</v>
      </c>
      <c r="G53" s="69">
        <v>2.5</v>
      </c>
      <c r="H53" s="69">
        <v>0.84099999999999997</v>
      </c>
      <c r="I53" s="69"/>
      <c r="J53" s="86" t="s">
        <v>155</v>
      </c>
      <c r="K53" s="101">
        <v>0.93</v>
      </c>
      <c r="L53" s="101">
        <v>0.92700000000000005</v>
      </c>
      <c r="N53" s="86" t="s">
        <v>211</v>
      </c>
      <c r="O53" s="86" t="s">
        <v>214</v>
      </c>
      <c r="P53" s="86" t="s">
        <v>215</v>
      </c>
      <c r="Q53" s="69">
        <v>125</v>
      </c>
      <c r="R53" s="69">
        <v>750</v>
      </c>
      <c r="S53" s="76">
        <v>1.06</v>
      </c>
      <c r="U53" s="86" t="s">
        <v>376</v>
      </c>
      <c r="V53" s="86" t="s">
        <v>424</v>
      </c>
      <c r="W53" s="86" t="s">
        <v>381</v>
      </c>
      <c r="X53" s="129" t="s">
        <v>371</v>
      </c>
      <c r="Y53" s="129"/>
      <c r="Z53" s="178" t="s">
        <v>503</v>
      </c>
      <c r="AA53" s="129">
        <v>1.8</v>
      </c>
      <c r="AB53" s="129">
        <v>2.6</v>
      </c>
      <c r="AC53" s="129">
        <v>20</v>
      </c>
      <c r="AE53" s="129">
        <v>125</v>
      </c>
      <c r="AF53" s="129">
        <v>0.5</v>
      </c>
      <c r="AG53" s="129">
        <v>89</v>
      </c>
    </row>
    <row r="54" spans="1:35" x14ac:dyDescent="0.2">
      <c r="A54" s="69">
        <v>15</v>
      </c>
      <c r="B54" s="69">
        <v>0.71199999999999997</v>
      </c>
      <c r="C54" s="69"/>
      <c r="D54" s="69" t="s">
        <v>137</v>
      </c>
      <c r="E54" s="74">
        <v>2.5</v>
      </c>
      <c r="F54" s="69">
        <v>0.80800000000000005</v>
      </c>
      <c r="G54" s="69">
        <v>2.5</v>
      </c>
      <c r="H54" s="69">
        <v>0.80800000000000005</v>
      </c>
      <c r="I54" s="69"/>
      <c r="J54" s="85" t="s">
        <v>316</v>
      </c>
      <c r="K54" s="103">
        <v>0.626</v>
      </c>
      <c r="L54" s="167">
        <v>0.626</v>
      </c>
      <c r="N54" s="86" t="s">
        <v>212</v>
      </c>
      <c r="O54" s="86" t="s">
        <v>215</v>
      </c>
      <c r="P54" s="86" t="s">
        <v>214</v>
      </c>
      <c r="Q54" s="69">
        <v>125</v>
      </c>
      <c r="R54" s="69">
        <v>270</v>
      </c>
      <c r="S54" s="76">
        <v>0.28000000000000003</v>
      </c>
      <c r="U54" s="86" t="s">
        <v>376</v>
      </c>
      <c r="V54" s="86" t="s">
        <v>379</v>
      </c>
      <c r="W54" s="86" t="s">
        <v>355</v>
      </c>
      <c r="X54" s="129" t="s">
        <v>371</v>
      </c>
      <c r="Y54" s="69"/>
      <c r="Z54" s="178" t="s">
        <v>504</v>
      </c>
      <c r="AA54" s="274">
        <v>1.8</v>
      </c>
      <c r="AB54" s="274">
        <v>2.7</v>
      </c>
      <c r="AC54" s="274">
        <v>13</v>
      </c>
    </row>
    <row r="55" spans="1:35" x14ac:dyDescent="0.2">
      <c r="A55" s="69"/>
      <c r="B55" s="69"/>
      <c r="C55" s="69"/>
      <c r="D55" s="69">
        <v>15</v>
      </c>
      <c r="E55" s="74">
        <v>3</v>
      </c>
      <c r="F55" s="69">
        <v>0.872</v>
      </c>
      <c r="G55" s="69">
        <v>2.5</v>
      </c>
      <c r="H55" s="69">
        <v>0.879</v>
      </c>
      <c r="I55" s="69"/>
      <c r="J55" s="85" t="s">
        <v>317</v>
      </c>
      <c r="K55" s="103">
        <v>0.23400000000000001</v>
      </c>
      <c r="L55" s="167">
        <v>0.316</v>
      </c>
      <c r="N55" s="86" t="s">
        <v>449</v>
      </c>
      <c r="O55" s="86" t="s">
        <v>215</v>
      </c>
      <c r="P55" s="86" t="s">
        <v>214</v>
      </c>
      <c r="Q55" s="69">
        <v>140</v>
      </c>
      <c r="R55" s="69">
        <v>1687.5</v>
      </c>
      <c r="S55" s="76">
        <v>2.35</v>
      </c>
    </row>
    <row r="56" spans="1:35" x14ac:dyDescent="0.2">
      <c r="J56" s="85" t="s">
        <v>149</v>
      </c>
      <c r="K56" s="103">
        <v>1.498</v>
      </c>
      <c r="L56" s="166">
        <v>1.153</v>
      </c>
    </row>
    <row r="59" spans="1:35" x14ac:dyDescent="0.2">
      <c r="D59" s="69"/>
    </row>
    <row r="60" spans="1:35" s="192" customFormat="1" x14ac:dyDescent="0.2">
      <c r="A60" s="189" t="s">
        <v>263</v>
      </c>
    </row>
    <row r="61" spans="1:35" x14ac:dyDescent="0.2">
      <c r="B61" s="135" t="s">
        <v>127</v>
      </c>
      <c r="C61" s="135" t="s">
        <v>128</v>
      </c>
      <c r="D61" s="135" t="s">
        <v>131</v>
      </c>
      <c r="E61" s="135" t="s">
        <v>132</v>
      </c>
      <c r="F61" s="135" t="s">
        <v>133</v>
      </c>
      <c r="G61" s="135" t="s">
        <v>134</v>
      </c>
      <c r="H61" s="86" t="s">
        <v>219</v>
      </c>
    </row>
    <row r="62" spans="1:35" x14ac:dyDescent="0.2">
      <c r="A62" s="135" t="s">
        <v>187</v>
      </c>
      <c r="B62" s="129">
        <v>10.5</v>
      </c>
      <c r="C62" s="129">
        <v>10.5</v>
      </c>
      <c r="D62" s="129">
        <v>10.5</v>
      </c>
      <c r="E62" s="129">
        <v>10.5</v>
      </c>
      <c r="F62" s="129">
        <v>10.5</v>
      </c>
      <c r="G62" s="129">
        <v>10.5</v>
      </c>
      <c r="H62" s="129">
        <f>AVERAGE(B62:G62)</f>
        <v>10.5</v>
      </c>
    </row>
    <row r="63" spans="1:35" x14ac:dyDescent="0.2">
      <c r="A63" s="135" t="s">
        <v>188</v>
      </c>
      <c r="B63" s="129">
        <v>82.7</v>
      </c>
      <c r="C63" s="129">
        <v>82.7</v>
      </c>
      <c r="D63" s="129">
        <v>82.7</v>
      </c>
      <c r="E63" s="129">
        <v>82.7</v>
      </c>
      <c r="F63" s="129">
        <v>82.7</v>
      </c>
      <c r="G63" s="129">
        <v>82.7</v>
      </c>
      <c r="H63" s="129">
        <f>AVERAGE(B63:G63)</f>
        <v>82.7</v>
      </c>
    </row>
    <row r="64" spans="1:35" x14ac:dyDescent="0.2">
      <c r="A64" s="135" t="s">
        <v>189</v>
      </c>
      <c r="B64" s="129">
        <v>0</v>
      </c>
      <c r="C64" s="129">
        <v>0</v>
      </c>
      <c r="D64" s="129">
        <v>0</v>
      </c>
      <c r="E64" s="129">
        <v>0</v>
      </c>
      <c r="F64" s="129">
        <v>0</v>
      </c>
      <c r="G64" s="129">
        <v>0</v>
      </c>
      <c r="H64" s="129">
        <f>AVERAGE(B64:G64)</f>
        <v>0</v>
      </c>
    </row>
    <row r="65" spans="1:8" x14ac:dyDescent="0.2">
      <c r="A65" s="135" t="s">
        <v>264</v>
      </c>
      <c r="B65" s="129">
        <v>0</v>
      </c>
      <c r="C65" s="129">
        <v>0</v>
      </c>
      <c r="D65" s="129">
        <v>0</v>
      </c>
      <c r="E65" s="129">
        <v>0</v>
      </c>
      <c r="F65" s="129">
        <v>0</v>
      </c>
      <c r="G65" s="129">
        <v>0</v>
      </c>
      <c r="H65" s="129">
        <f>AVERAGE(B65:G65)</f>
        <v>0</v>
      </c>
    </row>
    <row r="66" spans="1:8" x14ac:dyDescent="0.2">
      <c r="C66" s="69"/>
      <c r="D66" s="69"/>
    </row>
    <row r="79" spans="1:8" x14ac:dyDescent="0.2">
      <c r="A79" s="69"/>
      <c r="B79" s="69"/>
      <c r="C79" s="69"/>
      <c r="D79" s="69"/>
      <c r="E79" s="69"/>
      <c r="F79" s="69"/>
      <c r="G79" s="69"/>
      <c r="H79" s="69"/>
    </row>
    <row r="80" spans="1:8" x14ac:dyDescent="0.2">
      <c r="A80" s="86"/>
      <c r="B80" s="129"/>
      <c r="C80" s="129"/>
      <c r="D80" s="129"/>
      <c r="E80" s="129"/>
      <c r="F80" s="129"/>
      <c r="G80" s="129"/>
      <c r="H80" s="129"/>
    </row>
    <row r="81" spans="1:10" x14ac:dyDescent="0.2">
      <c r="A81" s="135"/>
      <c r="B81" s="129"/>
      <c r="C81" s="129"/>
      <c r="D81" s="129"/>
      <c r="E81" s="129"/>
      <c r="F81" s="129"/>
      <c r="G81" s="129"/>
      <c r="H81" s="129"/>
    </row>
    <row r="82" spans="1:10" x14ac:dyDescent="0.2">
      <c r="A82" s="86"/>
      <c r="B82" s="86"/>
      <c r="C82" s="86"/>
      <c r="D82" s="86"/>
      <c r="E82" s="86"/>
      <c r="F82" s="86"/>
      <c r="G82" s="86"/>
      <c r="H82" s="86"/>
      <c r="I82" s="86"/>
      <c r="J82" s="129"/>
    </row>
    <row r="83" spans="1:10" x14ac:dyDescent="0.2">
      <c r="A83" s="86"/>
      <c r="B83" s="86"/>
      <c r="C83" s="86"/>
      <c r="D83" s="178"/>
      <c r="E83" s="178"/>
      <c r="F83" s="178"/>
      <c r="G83" s="129"/>
      <c r="H83" s="129"/>
      <c r="I83" s="129"/>
      <c r="J83" s="129"/>
    </row>
    <row r="84" spans="1:10" x14ac:dyDescent="0.2">
      <c r="A84" s="86"/>
      <c r="C84" s="86"/>
      <c r="D84" s="129"/>
      <c r="E84" s="129"/>
      <c r="F84" s="129"/>
      <c r="G84" s="129"/>
      <c r="H84" s="129"/>
      <c r="I84" s="129"/>
      <c r="J84" s="129"/>
    </row>
    <row r="85" spans="1:10" x14ac:dyDescent="0.2">
      <c r="A85" s="86"/>
      <c r="B85" s="86"/>
      <c r="C85" s="86"/>
      <c r="D85" s="129"/>
      <c r="E85" s="69"/>
      <c r="F85" s="129"/>
      <c r="G85" s="129"/>
      <c r="H85" s="129"/>
      <c r="I85" s="129"/>
    </row>
    <row r="86" spans="1:10" x14ac:dyDescent="0.2">
      <c r="A86" s="86"/>
      <c r="B86" s="69"/>
      <c r="C86" s="69"/>
      <c r="D86" s="69"/>
      <c r="E86" s="69"/>
      <c r="F86" s="69"/>
      <c r="G86" s="69"/>
    </row>
  </sheetData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45"/>
  <sheetViews>
    <sheetView workbookViewId="0">
      <selection activeCell="A5" sqref="A5:B5"/>
    </sheetView>
  </sheetViews>
  <sheetFormatPr defaultRowHeight="12.75" x14ac:dyDescent="0.2"/>
  <cols>
    <col min="1" max="1" width="10.7109375" style="69" customWidth="1"/>
    <col min="2" max="2" width="12.42578125" style="156" customWidth="1"/>
    <col min="3" max="4" width="10.7109375" style="69" customWidth="1"/>
  </cols>
  <sheetData>
    <row r="1" spans="1:4" x14ac:dyDescent="0.2">
      <c r="A1" s="135" t="s">
        <v>240</v>
      </c>
    </row>
    <row r="3" spans="1:4" ht="15.75" x14ac:dyDescent="0.25">
      <c r="A3" s="154" t="s">
        <v>303</v>
      </c>
    </row>
    <row r="4" spans="1:4" x14ac:dyDescent="0.2">
      <c r="A4" s="135" t="s">
        <v>242</v>
      </c>
      <c r="B4" s="157" t="s">
        <v>243</v>
      </c>
    </row>
    <row r="5" spans="1:4" x14ac:dyDescent="0.2">
      <c r="A5" s="199">
        <v>2.2189999999999999</v>
      </c>
      <c r="B5" s="155">
        <v>44900</v>
      </c>
    </row>
    <row r="7" spans="1:4" s="136" customFormat="1" x14ac:dyDescent="0.2">
      <c r="A7" s="135" t="s">
        <v>242</v>
      </c>
      <c r="B7" s="157" t="s">
        <v>243</v>
      </c>
      <c r="C7" s="135" t="s">
        <v>247</v>
      </c>
      <c r="D7" s="135" t="s">
        <v>158</v>
      </c>
    </row>
    <row r="8" spans="1:4" x14ac:dyDescent="0.2">
      <c r="A8" s="69" t="s">
        <v>241</v>
      </c>
      <c r="B8" s="156">
        <v>41278</v>
      </c>
      <c r="C8" s="137" t="s">
        <v>248</v>
      </c>
      <c r="D8" s="69" t="s">
        <v>244</v>
      </c>
    </row>
    <row r="9" spans="1:4" x14ac:dyDescent="0.2">
      <c r="A9" s="69" t="s">
        <v>245</v>
      </c>
      <c r="B9" s="156">
        <v>41376</v>
      </c>
      <c r="C9" s="137" t="s">
        <v>248</v>
      </c>
      <c r="D9" s="86" t="s">
        <v>246</v>
      </c>
    </row>
    <row r="10" spans="1:4" x14ac:dyDescent="0.2">
      <c r="A10" s="86" t="s">
        <v>255</v>
      </c>
      <c r="B10" s="156">
        <v>41397</v>
      </c>
      <c r="C10" s="86" t="s">
        <v>248</v>
      </c>
      <c r="D10" s="86" t="s">
        <v>256</v>
      </c>
    </row>
    <row r="11" spans="1:4" x14ac:dyDescent="0.2">
      <c r="A11" s="86" t="s">
        <v>301</v>
      </c>
      <c r="B11" s="156">
        <v>41484</v>
      </c>
      <c r="C11" s="86" t="s">
        <v>248</v>
      </c>
      <c r="D11" s="86" t="s">
        <v>302</v>
      </c>
    </row>
    <row r="12" spans="1:4" x14ac:dyDescent="0.2">
      <c r="A12" s="86" t="s">
        <v>301</v>
      </c>
      <c r="B12" s="156">
        <v>41548</v>
      </c>
      <c r="C12" s="69" t="s">
        <v>248</v>
      </c>
      <c r="D12" s="69" t="s">
        <v>305</v>
      </c>
    </row>
    <row r="13" spans="1:4" x14ac:dyDescent="0.2">
      <c r="A13" s="86" t="s">
        <v>301</v>
      </c>
      <c r="B13" s="156">
        <v>41564</v>
      </c>
      <c r="C13" s="86" t="s">
        <v>248</v>
      </c>
      <c r="D13" s="86" t="s">
        <v>306</v>
      </c>
    </row>
    <row r="14" spans="1:4" x14ac:dyDescent="0.2">
      <c r="A14" s="86" t="s">
        <v>309</v>
      </c>
      <c r="B14" s="156">
        <v>41592</v>
      </c>
      <c r="C14" s="86" t="s">
        <v>248</v>
      </c>
      <c r="D14" s="86" t="s">
        <v>310</v>
      </c>
    </row>
    <row r="15" spans="1:4" x14ac:dyDescent="0.2">
      <c r="A15" s="86" t="s">
        <v>311</v>
      </c>
      <c r="B15" s="156">
        <v>41684</v>
      </c>
      <c r="C15" s="86" t="s">
        <v>248</v>
      </c>
      <c r="D15" s="86" t="s">
        <v>312</v>
      </c>
    </row>
    <row r="16" spans="1:4" x14ac:dyDescent="0.2">
      <c r="A16" s="76">
        <v>2.105</v>
      </c>
      <c r="B16" s="156">
        <v>41782</v>
      </c>
      <c r="C16" s="69" t="s">
        <v>248</v>
      </c>
      <c r="D16" s="86" t="s">
        <v>356</v>
      </c>
    </row>
    <row r="17" spans="1:4" x14ac:dyDescent="0.2">
      <c r="A17" s="76">
        <v>2.2000000000000002</v>
      </c>
      <c r="B17" s="156">
        <v>41808</v>
      </c>
      <c r="C17" s="86" t="s">
        <v>248</v>
      </c>
      <c r="D17" s="86" t="s">
        <v>387</v>
      </c>
    </row>
    <row r="18" spans="1:4" x14ac:dyDescent="0.2">
      <c r="A18" s="76">
        <v>2.2010000000000001</v>
      </c>
      <c r="B18" s="156">
        <v>41940</v>
      </c>
      <c r="C18" s="69" t="s">
        <v>248</v>
      </c>
      <c r="D18" s="69" t="s">
        <v>390</v>
      </c>
    </row>
    <row r="19" spans="1:4" x14ac:dyDescent="0.2">
      <c r="A19" s="76">
        <v>2.202</v>
      </c>
      <c r="B19" s="156">
        <v>42109</v>
      </c>
      <c r="C19" s="69" t="s">
        <v>248</v>
      </c>
      <c r="D19" s="86" t="s">
        <v>428</v>
      </c>
    </row>
    <row r="20" spans="1:4" x14ac:dyDescent="0.2">
      <c r="A20" s="76">
        <v>2.2029999999999998</v>
      </c>
      <c r="B20" s="156">
        <v>42114</v>
      </c>
      <c r="C20" s="86" t="s">
        <v>248</v>
      </c>
      <c r="D20" s="86" t="s">
        <v>448</v>
      </c>
    </row>
    <row r="21" spans="1:4" x14ac:dyDescent="0.2">
      <c r="A21" s="76">
        <v>2.2040000000000002</v>
      </c>
      <c r="B21" s="156">
        <v>42283</v>
      </c>
      <c r="C21" s="86" t="s">
        <v>248</v>
      </c>
      <c r="D21" s="86" t="s">
        <v>467</v>
      </c>
    </row>
    <row r="22" spans="1:4" x14ac:dyDescent="0.2">
      <c r="A22" s="76">
        <v>2.2050000000000001</v>
      </c>
      <c r="B22" s="156">
        <v>42394</v>
      </c>
      <c r="C22" s="69" t="s">
        <v>248</v>
      </c>
      <c r="D22" s="69" t="s">
        <v>468</v>
      </c>
    </row>
    <row r="23" spans="1:4" x14ac:dyDescent="0.2">
      <c r="A23" s="76">
        <v>2.206</v>
      </c>
      <c r="B23" s="156">
        <v>42419</v>
      </c>
      <c r="C23" s="69" t="s">
        <v>248</v>
      </c>
      <c r="D23" s="69" t="s">
        <v>473</v>
      </c>
    </row>
    <row r="24" spans="1:4" x14ac:dyDescent="0.2">
      <c r="A24" s="198" t="s">
        <v>475</v>
      </c>
      <c r="B24" s="156">
        <v>42571</v>
      </c>
      <c r="C24" s="86" t="s">
        <v>476</v>
      </c>
      <c r="D24" s="86" t="s">
        <v>477</v>
      </c>
    </row>
    <row r="25" spans="1:4" x14ac:dyDescent="0.2">
      <c r="A25" s="76">
        <v>2.2080000000000002</v>
      </c>
      <c r="B25" s="156">
        <v>42807</v>
      </c>
      <c r="C25" s="69" t="s">
        <v>248</v>
      </c>
      <c r="D25" s="69" t="s">
        <v>478</v>
      </c>
    </row>
    <row r="26" spans="1:4" x14ac:dyDescent="0.2">
      <c r="A26" s="76">
        <v>2.2090000000000001</v>
      </c>
      <c r="B26" s="156">
        <v>43193</v>
      </c>
      <c r="C26" s="86" t="s">
        <v>248</v>
      </c>
      <c r="D26" s="86" t="s">
        <v>485</v>
      </c>
    </row>
    <row r="27" spans="1:4" x14ac:dyDescent="0.2">
      <c r="A27" s="76">
        <v>2.21</v>
      </c>
      <c r="B27" s="156">
        <v>43270</v>
      </c>
      <c r="C27" s="69" t="s">
        <v>248</v>
      </c>
      <c r="D27" s="69" t="s">
        <v>488</v>
      </c>
    </row>
    <row r="28" spans="1:4" x14ac:dyDescent="0.2">
      <c r="A28" s="76">
        <v>2.2109999999999999</v>
      </c>
      <c r="B28" s="156">
        <v>43467</v>
      </c>
      <c r="C28" s="86" t="s">
        <v>248</v>
      </c>
      <c r="D28" s="86" t="s">
        <v>495</v>
      </c>
    </row>
    <row r="29" spans="1:4" x14ac:dyDescent="0.2">
      <c r="A29" s="76">
        <v>2.2120000000000002</v>
      </c>
      <c r="B29" s="156">
        <v>43749</v>
      </c>
      <c r="C29" s="86" t="s">
        <v>248</v>
      </c>
      <c r="D29" s="86" t="s">
        <v>514</v>
      </c>
    </row>
    <row r="30" spans="1:4" x14ac:dyDescent="0.2">
      <c r="A30" s="76">
        <v>2.2130000000000001</v>
      </c>
      <c r="B30" s="156">
        <v>43859</v>
      </c>
      <c r="C30" s="69" t="s">
        <v>248</v>
      </c>
      <c r="D30" s="69" t="s">
        <v>515</v>
      </c>
    </row>
    <row r="31" spans="1:4" x14ac:dyDescent="0.2">
      <c r="A31" s="76">
        <v>2.214</v>
      </c>
      <c r="B31" s="156">
        <v>43879</v>
      </c>
      <c r="C31" s="69" t="s">
        <v>248</v>
      </c>
      <c r="D31" s="69" t="s">
        <v>516</v>
      </c>
    </row>
    <row r="32" spans="1:4" x14ac:dyDescent="0.2">
      <c r="A32" s="76">
        <v>2.2149999999999999</v>
      </c>
      <c r="B32" s="156">
        <v>44484</v>
      </c>
      <c r="C32" s="69" t="s">
        <v>248</v>
      </c>
      <c r="D32" s="69" t="s">
        <v>468</v>
      </c>
    </row>
    <row r="33" spans="1:4" x14ac:dyDescent="0.2">
      <c r="A33" s="76">
        <v>2.2160000000000002</v>
      </c>
      <c r="B33" s="156">
        <v>44505</v>
      </c>
      <c r="C33" s="86" t="s">
        <v>248</v>
      </c>
      <c r="D33" s="86" t="s">
        <v>518</v>
      </c>
    </row>
    <row r="34" spans="1:4" x14ac:dyDescent="0.2">
      <c r="A34" s="76">
        <v>2.2170000000000001</v>
      </c>
      <c r="B34" s="156">
        <v>44616</v>
      </c>
      <c r="C34" s="69" t="s">
        <v>248</v>
      </c>
      <c r="D34" s="69" t="s">
        <v>519</v>
      </c>
    </row>
    <row r="35" spans="1:4" x14ac:dyDescent="0.2">
      <c r="A35" s="76">
        <v>2.218</v>
      </c>
      <c r="B35" s="156">
        <v>44754</v>
      </c>
      <c r="C35" s="86" t="s">
        <v>248</v>
      </c>
      <c r="D35" s="86" t="s">
        <v>525</v>
      </c>
    </row>
    <row r="36" spans="1:4" x14ac:dyDescent="0.2">
      <c r="A36" s="76">
        <v>2.2189999999999999</v>
      </c>
      <c r="B36" s="156">
        <v>44900</v>
      </c>
      <c r="C36" s="69" t="s">
        <v>248</v>
      </c>
      <c r="D36" s="69" t="s">
        <v>468</v>
      </c>
    </row>
    <row r="37" spans="1:4" x14ac:dyDescent="0.2">
      <c r="A37" s="76"/>
    </row>
    <row r="38" spans="1:4" x14ac:dyDescent="0.2">
      <c r="A38" s="76"/>
    </row>
    <row r="39" spans="1:4" x14ac:dyDescent="0.2">
      <c r="A39" s="76"/>
    </row>
    <row r="40" spans="1:4" x14ac:dyDescent="0.2">
      <c r="A40" s="76"/>
    </row>
    <row r="41" spans="1:4" x14ac:dyDescent="0.2">
      <c r="A41" s="76"/>
    </row>
    <row r="42" spans="1:4" x14ac:dyDescent="0.2">
      <c r="A42" s="76"/>
    </row>
    <row r="43" spans="1:4" x14ac:dyDescent="0.2">
      <c r="A43" s="76"/>
    </row>
    <row r="44" spans="1:4" x14ac:dyDescent="0.2">
      <c r="A44" s="76"/>
    </row>
    <row r="45" spans="1:4" x14ac:dyDescent="0.2">
      <c r="A45" s="76"/>
    </row>
  </sheetData>
  <customSheetViews>
    <customSheetView guid="{FA2D1B4E-F89E-4C35-9D43-0653EC39ACA4}">
      <selection activeCell="F18" sqref="F18"/>
      <pageMargins left="0.7" right="0.7" top="0.75" bottom="0.75" header="0.3" footer="0.3"/>
      <pageSetup orientation="portrait" r:id="rId1"/>
    </customSheetView>
  </customSheetViews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BI383"/>
  <sheetViews>
    <sheetView tabSelected="1" topLeftCell="A25" zoomScaleNormal="100" workbookViewId="0">
      <selection activeCell="J35" sqref="J35"/>
    </sheetView>
  </sheetViews>
  <sheetFormatPr defaultRowHeight="12.75" x14ac:dyDescent="0.2"/>
  <cols>
    <col min="1" max="1" width="3.7109375" style="3" customWidth="1"/>
    <col min="2" max="2" width="3.7109375" customWidth="1"/>
    <col min="3" max="13" width="11.7109375" customWidth="1"/>
    <col min="14" max="14" width="3.7109375" customWidth="1"/>
    <col min="15" max="15" width="3.7109375" style="3" customWidth="1"/>
    <col min="16" max="16" width="56.140625" style="93" customWidth="1"/>
    <col min="17" max="32" width="10.7109375" customWidth="1"/>
    <col min="33" max="39" width="15.7109375" customWidth="1"/>
    <col min="40" max="47" width="12.7109375" customWidth="1"/>
  </cols>
  <sheetData>
    <row r="1" spans="2:46" ht="13.5" thickBot="1" x14ac:dyDescent="0.25"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P1" s="91"/>
    </row>
    <row r="2" spans="2:46" ht="15.75" x14ac:dyDescent="0.25">
      <c r="B2" s="203"/>
      <c r="C2" s="204" t="s">
        <v>69</v>
      </c>
      <c r="D2" s="205"/>
      <c r="E2" s="206" t="s">
        <v>70</v>
      </c>
      <c r="F2" s="206"/>
      <c r="G2" s="206"/>
      <c r="H2" s="206"/>
      <c r="I2" s="205"/>
      <c r="J2" s="205"/>
      <c r="K2" s="205"/>
      <c r="L2" s="205"/>
      <c r="M2" s="205"/>
      <c r="N2" s="207"/>
      <c r="P2" s="92" t="s">
        <v>158</v>
      </c>
    </row>
    <row r="3" spans="2:46" x14ac:dyDescent="0.2">
      <c r="B3" s="208"/>
      <c r="C3" s="209"/>
      <c r="D3" s="210"/>
      <c r="E3" s="211" t="s">
        <v>442</v>
      </c>
      <c r="F3" s="209"/>
      <c r="G3" s="209"/>
      <c r="H3" s="209"/>
      <c r="I3" s="212"/>
      <c r="J3" s="212"/>
      <c r="K3" s="212"/>
      <c r="L3" s="212"/>
      <c r="M3" s="212"/>
      <c r="N3" s="213"/>
    </row>
    <row r="4" spans="2:46" ht="15.75" x14ac:dyDescent="0.25">
      <c r="B4" s="208"/>
      <c r="C4" s="214" t="s">
        <v>111</v>
      </c>
      <c r="D4" s="212"/>
      <c r="E4" s="209" t="s">
        <v>140</v>
      </c>
      <c r="F4" s="212"/>
      <c r="G4" s="212"/>
      <c r="H4" s="212"/>
      <c r="I4" s="212"/>
      <c r="J4" s="212"/>
      <c r="K4" s="212"/>
      <c r="L4" s="212"/>
      <c r="M4" s="212"/>
      <c r="N4" s="213"/>
    </row>
    <row r="5" spans="2:46" x14ac:dyDescent="0.2">
      <c r="B5" s="208"/>
      <c r="C5" s="212"/>
      <c r="D5" s="212"/>
      <c r="E5" s="209" t="s">
        <v>141</v>
      </c>
      <c r="F5" s="212"/>
      <c r="G5" s="212"/>
      <c r="H5" s="212"/>
      <c r="I5" s="212"/>
      <c r="J5" s="212"/>
      <c r="K5" s="212"/>
      <c r="L5" s="212"/>
      <c r="M5" s="212"/>
      <c r="N5" s="213"/>
      <c r="AN5" s="68"/>
      <c r="AO5" s="68"/>
      <c r="AP5" s="68"/>
      <c r="AQ5" s="68"/>
      <c r="AR5" s="68"/>
      <c r="AS5" s="68"/>
      <c r="AT5" s="68"/>
    </row>
    <row r="6" spans="2:46" x14ac:dyDescent="0.2">
      <c r="B6" s="208"/>
      <c r="C6" s="210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3"/>
    </row>
    <row r="7" spans="2:46" x14ac:dyDescent="0.2">
      <c r="B7" s="208"/>
      <c r="C7" s="212"/>
      <c r="D7" s="212"/>
      <c r="E7" s="212"/>
      <c r="F7" s="212"/>
      <c r="G7" s="212"/>
      <c r="H7" s="212"/>
      <c r="I7" s="212"/>
      <c r="J7" s="212"/>
      <c r="K7" s="212"/>
      <c r="L7" s="212"/>
      <c r="M7" s="212"/>
      <c r="N7" s="213"/>
      <c r="P7" s="271"/>
    </row>
    <row r="8" spans="2:46" ht="13.5" thickBot="1" x14ac:dyDescent="0.25">
      <c r="B8" s="215"/>
      <c r="C8" s="216"/>
      <c r="D8" s="216"/>
      <c r="E8" s="216"/>
      <c r="F8" s="216"/>
      <c r="G8" s="216"/>
      <c r="H8" s="216"/>
      <c r="I8" s="216"/>
      <c r="J8" s="216"/>
      <c r="K8" s="216"/>
      <c r="L8" s="216"/>
      <c r="M8" s="216"/>
      <c r="N8" s="217"/>
    </row>
    <row r="9" spans="2:46" x14ac:dyDescent="0.2">
      <c r="B9" s="224"/>
      <c r="C9" s="225"/>
      <c r="D9" s="225"/>
      <c r="E9" s="225"/>
      <c r="F9" s="225"/>
      <c r="G9" s="225"/>
      <c r="H9" s="225"/>
      <c r="I9" s="225"/>
      <c r="J9" s="225"/>
      <c r="K9" s="225"/>
      <c r="L9" s="225"/>
      <c r="M9" s="225"/>
      <c r="N9" s="226"/>
    </row>
    <row r="10" spans="2:46" ht="12" customHeight="1" x14ac:dyDescent="0.2">
      <c r="B10" s="22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228"/>
      <c r="O10" s="4"/>
    </row>
    <row r="11" spans="2:46" ht="18" x14ac:dyDescent="0.25">
      <c r="B11" s="227"/>
      <c r="C11" s="7"/>
      <c r="D11" s="7"/>
      <c r="E11" s="7"/>
      <c r="F11" s="7"/>
      <c r="G11" s="7"/>
      <c r="H11" s="8" t="s">
        <v>0</v>
      </c>
      <c r="I11" s="7"/>
      <c r="J11" s="7"/>
      <c r="K11" s="7"/>
      <c r="L11" s="90" t="str">
        <f>"(v."&amp;TEXT(Info!$A$5,"0.000")&amp;", "&amp;TEXT(Info!$B$5,"dd-mmm-yyyy")&amp;")"</f>
        <v>(v.2.219, 05-Dec-2022)</v>
      </c>
      <c r="M11" s="7"/>
      <c r="N11" s="228"/>
      <c r="O11" s="4"/>
    </row>
    <row r="12" spans="2:46" ht="15.75" x14ac:dyDescent="0.25">
      <c r="B12" s="227"/>
      <c r="C12" s="7"/>
      <c r="D12" s="7"/>
      <c r="E12" s="7"/>
      <c r="F12" s="7"/>
      <c r="G12" s="7"/>
      <c r="H12" s="317"/>
      <c r="I12" s="318"/>
      <c r="J12" s="319"/>
      <c r="K12" s="9"/>
      <c r="L12" s="72"/>
      <c r="M12" s="72"/>
      <c r="N12" s="228"/>
      <c r="O12" s="4"/>
    </row>
    <row r="13" spans="2:46" ht="20.100000000000001" customHeight="1" thickBot="1" x14ac:dyDescent="0.25">
      <c r="B13" s="227"/>
      <c r="C13" s="7"/>
      <c r="D13" s="7"/>
      <c r="E13" s="7"/>
      <c r="F13" s="7"/>
      <c r="G13" s="7"/>
      <c r="H13" s="263" t="str">
        <f>IF(H12="","",VLOOKUP(H12,Data!A21:I26,3,FALSE)&amp;" "&amp;VLOOKUP(H12,Data!A21:I26,5,FALSE)&amp;" s/n: "&amp;VLOOKUP(H12,Data!A21:I26,7,FALSE))</f>
        <v/>
      </c>
      <c r="I13" s="7"/>
      <c r="J13" s="7"/>
      <c r="K13" s="7"/>
      <c r="L13" s="7"/>
      <c r="M13" s="7"/>
      <c r="N13" s="228"/>
      <c r="O13" s="4"/>
    </row>
    <row r="14" spans="2:46" ht="17.25" thickTop="1" thickBot="1" x14ac:dyDescent="0.3">
      <c r="B14" s="227"/>
      <c r="C14" s="10" t="s">
        <v>15</v>
      </c>
      <c r="D14" s="11"/>
      <c r="E14" s="11"/>
      <c r="F14" s="11"/>
      <c r="G14" s="11"/>
      <c r="H14" s="11"/>
      <c r="I14" s="11"/>
      <c r="J14" s="11"/>
      <c r="K14" s="11"/>
      <c r="L14" s="11"/>
      <c r="M14" s="12"/>
      <c r="N14" s="228"/>
      <c r="O14" s="4"/>
    </row>
    <row r="15" spans="2:46" ht="16.5" thickTop="1" thickBot="1" x14ac:dyDescent="0.3">
      <c r="B15" s="227"/>
      <c r="C15" s="187"/>
      <c r="D15" s="1"/>
      <c r="E15" s="276" t="s">
        <v>510</v>
      </c>
      <c r="F15" s="330"/>
      <c r="G15" s="331"/>
      <c r="I15" s="275" t="s">
        <v>511</v>
      </c>
      <c r="J15" s="21"/>
      <c r="K15" s="7"/>
      <c r="L15" s="185" t="s">
        <v>421</v>
      </c>
      <c r="M15" s="186"/>
      <c r="N15" s="228"/>
      <c r="O15" s="4"/>
    </row>
    <row r="16" spans="2:46" ht="13.5" thickTop="1" x14ac:dyDescent="0.2">
      <c r="B16" s="227"/>
      <c r="C16" s="278" t="s">
        <v>422</v>
      </c>
      <c r="D16" s="7"/>
      <c r="E16" s="15"/>
      <c r="F16" s="7"/>
      <c r="G16" s="7"/>
      <c r="H16" s="7"/>
      <c r="I16" s="7"/>
      <c r="J16" s="7"/>
      <c r="K16" s="7"/>
      <c r="L16" s="7"/>
      <c r="M16" s="13"/>
      <c r="N16" s="228"/>
      <c r="O16" s="4"/>
    </row>
    <row r="17" spans="2:15" x14ac:dyDescent="0.2">
      <c r="B17" s="227"/>
      <c r="C17" s="320"/>
      <c r="D17" s="321"/>
      <c r="E17" s="321"/>
      <c r="F17" s="321"/>
      <c r="G17" s="321"/>
      <c r="H17" s="321"/>
      <c r="I17" s="321"/>
      <c r="J17" s="321"/>
      <c r="K17" s="321"/>
      <c r="L17" s="321"/>
      <c r="M17" s="322"/>
      <c r="N17" s="228"/>
      <c r="O17" s="4"/>
    </row>
    <row r="18" spans="2:15" x14ac:dyDescent="0.2">
      <c r="B18" s="227"/>
      <c r="C18" s="323"/>
      <c r="D18" s="324"/>
      <c r="E18" s="324"/>
      <c r="F18" s="324"/>
      <c r="G18" s="324"/>
      <c r="H18" s="324"/>
      <c r="I18" s="324"/>
      <c r="J18" s="324"/>
      <c r="K18" s="324"/>
      <c r="L18" s="324"/>
      <c r="M18" s="325"/>
      <c r="N18" s="228"/>
      <c r="O18" s="4"/>
    </row>
    <row r="19" spans="2:15" x14ac:dyDescent="0.2">
      <c r="B19" s="227"/>
      <c r="C19" s="326"/>
      <c r="D19" s="327"/>
      <c r="E19" s="327"/>
      <c r="F19" s="327"/>
      <c r="G19" s="327"/>
      <c r="H19" s="327"/>
      <c r="I19" s="327"/>
      <c r="J19" s="327"/>
      <c r="K19" s="327"/>
      <c r="L19" s="327"/>
      <c r="M19" s="328"/>
      <c r="N19" s="228"/>
      <c r="O19" s="4"/>
    </row>
    <row r="20" spans="2:15" x14ac:dyDescent="0.2">
      <c r="B20" s="227"/>
      <c r="C20" s="280"/>
      <c r="D20" s="78"/>
      <c r="E20" s="78"/>
      <c r="F20" s="78"/>
      <c r="G20" s="78"/>
      <c r="H20" s="78"/>
      <c r="I20" s="78"/>
      <c r="J20" s="78"/>
      <c r="K20" s="78"/>
      <c r="L20" s="78"/>
      <c r="M20" s="281"/>
      <c r="N20" s="228"/>
      <c r="O20" s="4"/>
    </row>
    <row r="21" spans="2:15" ht="21" customHeight="1" x14ac:dyDescent="0.25">
      <c r="B21" s="227"/>
      <c r="C21" s="14"/>
      <c r="E21" s="16" t="s">
        <v>470</v>
      </c>
      <c r="F21" s="332"/>
      <c r="G21" s="333"/>
      <c r="I21" s="89"/>
      <c r="J21" s="89"/>
      <c r="K21" s="89"/>
      <c r="L21" s="16" t="s">
        <v>304</v>
      </c>
      <c r="M21" s="279"/>
      <c r="N21" s="228"/>
      <c r="O21" s="4"/>
    </row>
    <row r="22" spans="2:15" ht="13.5" thickBot="1" x14ac:dyDescent="0.25">
      <c r="B22" s="227"/>
      <c r="C22" s="17"/>
      <c r="D22" s="18"/>
      <c r="E22" s="277"/>
      <c r="F22" s="73" t="s">
        <v>16</v>
      </c>
      <c r="G22" s="18"/>
      <c r="H22" s="18"/>
      <c r="I22" s="18"/>
      <c r="J22" s="18"/>
      <c r="K22" s="18"/>
      <c r="L22" s="18"/>
      <c r="M22" s="158"/>
      <c r="N22" s="229"/>
      <c r="O22" s="4"/>
    </row>
    <row r="23" spans="2:15" ht="13.5" thickTop="1" x14ac:dyDescent="0.2">
      <c r="B23" s="22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228"/>
      <c r="O23" s="4"/>
    </row>
    <row r="24" spans="2:15" ht="15.75" x14ac:dyDescent="0.25">
      <c r="B24" s="230"/>
      <c r="C24" s="113" t="s">
        <v>68</v>
      </c>
      <c r="D24" s="114"/>
      <c r="E24" s="114"/>
      <c r="F24" s="114"/>
      <c r="G24" s="114"/>
      <c r="H24" s="114"/>
      <c r="I24" s="114"/>
      <c r="J24" s="197" t="s">
        <v>472</v>
      </c>
      <c r="K24" s="329"/>
      <c r="L24" s="329"/>
      <c r="M24" s="114"/>
      <c r="N24" s="228"/>
      <c r="O24" s="4"/>
    </row>
    <row r="25" spans="2:15" ht="12" customHeight="1" x14ac:dyDescent="0.25">
      <c r="B25" s="227"/>
      <c r="C25" s="20"/>
      <c r="D25" s="7"/>
      <c r="E25" s="7"/>
      <c r="F25" s="7"/>
      <c r="G25" s="7"/>
      <c r="H25" s="7"/>
      <c r="I25" s="7"/>
      <c r="J25" s="143"/>
      <c r="K25" s="7"/>
      <c r="L25" s="7"/>
      <c r="M25" s="7"/>
      <c r="N25" s="228"/>
      <c r="O25" s="4"/>
    </row>
    <row r="26" spans="2:15" x14ac:dyDescent="0.2">
      <c r="B26" s="227"/>
      <c r="C26" s="196"/>
      <c r="D26" s="7"/>
      <c r="E26" s="7"/>
      <c r="F26" s="7"/>
      <c r="G26" s="7"/>
      <c r="H26" s="19"/>
      <c r="I26" s="7"/>
      <c r="J26" s="15" t="s">
        <v>441</v>
      </c>
      <c r="K26" s="7"/>
      <c r="L26" s="7"/>
      <c r="M26" s="7"/>
      <c r="N26" s="228"/>
      <c r="O26" s="4"/>
    </row>
    <row r="27" spans="2:15" x14ac:dyDescent="0.2">
      <c r="B27" s="227"/>
      <c r="C27" s="7" t="s">
        <v>27</v>
      </c>
      <c r="D27" s="7"/>
      <c r="E27" s="7"/>
      <c r="F27" s="7"/>
      <c r="G27" s="7"/>
      <c r="H27" s="194"/>
      <c r="I27" s="7"/>
      <c r="J27" s="314"/>
      <c r="K27" s="315"/>
      <c r="L27" s="315"/>
      <c r="M27" s="316"/>
      <c r="N27" s="228"/>
      <c r="O27" s="4"/>
    </row>
    <row r="28" spans="2:15" x14ac:dyDescent="0.2">
      <c r="B28" s="227"/>
      <c r="C28" s="7" t="s">
        <v>25</v>
      </c>
      <c r="D28" s="7"/>
      <c r="E28" s="7"/>
      <c r="F28" s="7"/>
      <c r="G28" s="7"/>
      <c r="H28" s="194"/>
      <c r="I28" s="7"/>
      <c r="J28" s="314"/>
      <c r="K28" s="315"/>
      <c r="L28" s="315"/>
      <c r="M28" s="316"/>
      <c r="N28" s="228"/>
      <c r="O28" s="4"/>
    </row>
    <row r="29" spans="2:15" x14ac:dyDescent="0.2">
      <c r="B29" s="227"/>
      <c r="C29" s="7" t="s">
        <v>24</v>
      </c>
      <c r="D29" s="7"/>
      <c r="E29" s="7"/>
      <c r="F29" s="7"/>
      <c r="G29" s="7"/>
      <c r="H29" s="194"/>
      <c r="I29" s="7"/>
      <c r="J29" s="314"/>
      <c r="K29" s="315"/>
      <c r="L29" s="315"/>
      <c r="M29" s="316"/>
      <c r="N29" s="228"/>
      <c r="O29" s="4"/>
    </row>
    <row r="30" spans="2:15" x14ac:dyDescent="0.2">
      <c r="B30" s="227"/>
      <c r="C30" s="7" t="s">
        <v>26</v>
      </c>
      <c r="D30" s="7"/>
      <c r="E30" s="7"/>
      <c r="F30" s="7"/>
      <c r="G30" s="7"/>
      <c r="H30" s="194"/>
      <c r="I30" s="7"/>
      <c r="J30" s="314"/>
      <c r="K30" s="315"/>
      <c r="L30" s="315"/>
      <c r="M30" s="316"/>
      <c r="N30" s="228"/>
      <c r="O30" s="4"/>
    </row>
    <row r="31" spans="2:15" x14ac:dyDescent="0.2">
      <c r="B31" s="227"/>
      <c r="C31" s="79" t="s">
        <v>512</v>
      </c>
      <c r="D31" s="7"/>
      <c r="E31" s="7"/>
      <c r="F31" s="7"/>
      <c r="G31" s="7"/>
      <c r="H31" s="194"/>
      <c r="I31" s="7"/>
      <c r="J31" s="314"/>
      <c r="K31" s="315"/>
      <c r="L31" s="315"/>
      <c r="M31" s="316"/>
      <c r="N31" s="228"/>
      <c r="O31" s="4"/>
    </row>
    <row r="32" spans="2:15" x14ac:dyDescent="0.2">
      <c r="B32" s="22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228"/>
      <c r="O32" s="4"/>
    </row>
    <row r="33" spans="2:61" ht="15.75" x14ac:dyDescent="0.25">
      <c r="B33" s="230"/>
      <c r="C33" s="113" t="s">
        <v>265</v>
      </c>
      <c r="D33" s="114"/>
      <c r="E33" s="114"/>
      <c r="F33" s="114"/>
      <c r="G33" s="114"/>
      <c r="H33" s="114"/>
      <c r="I33" s="114"/>
      <c r="J33" s="197" t="s">
        <v>472</v>
      </c>
      <c r="K33" s="329"/>
      <c r="L33" s="329"/>
      <c r="M33" s="114"/>
      <c r="N33" s="228"/>
      <c r="O33" s="4"/>
    </row>
    <row r="34" spans="2:61" x14ac:dyDescent="0.2">
      <c r="B34" s="227"/>
      <c r="C34" s="287"/>
      <c r="D34" s="287"/>
      <c r="E34" s="287"/>
      <c r="F34" s="287"/>
      <c r="G34" s="287"/>
      <c r="H34" s="7"/>
      <c r="I34" s="7"/>
      <c r="J34" s="7"/>
      <c r="K34" s="7"/>
      <c r="L34" s="7"/>
      <c r="M34" s="7"/>
      <c r="N34" s="228"/>
      <c r="O34" s="4"/>
    </row>
    <row r="35" spans="2:61" ht="18.75" x14ac:dyDescent="0.35">
      <c r="B35" s="227"/>
      <c r="C35" s="288" t="s">
        <v>764</v>
      </c>
      <c r="D35" s="112" t="s">
        <v>836</v>
      </c>
      <c r="F35" s="288" t="s">
        <v>765</v>
      </c>
      <c r="G35" s="112" t="s">
        <v>837</v>
      </c>
      <c r="H35" s="1"/>
      <c r="I35" s="22" t="s">
        <v>262</v>
      </c>
      <c r="J35" s="307" t="s">
        <v>842</v>
      </c>
      <c r="K35" s="80"/>
      <c r="L35" s="80"/>
      <c r="M35" s="80"/>
      <c r="N35" s="228"/>
      <c r="O35" s="4"/>
      <c r="P35" s="144"/>
    </row>
    <row r="36" spans="2:61" ht="15.75" customHeight="1" x14ac:dyDescent="0.2">
      <c r="B36" s="227"/>
      <c r="C36" s="287"/>
      <c r="D36" s="287"/>
      <c r="E36" s="287"/>
      <c r="F36" s="287"/>
      <c r="G36" s="287"/>
      <c r="H36" s="7"/>
      <c r="I36" s="7"/>
      <c r="J36" s="7"/>
      <c r="K36" s="80"/>
      <c r="L36" s="80"/>
      <c r="M36" s="80"/>
      <c r="N36" s="228"/>
      <c r="O36" s="4"/>
    </row>
    <row r="37" spans="2:61" ht="14.25" x14ac:dyDescent="0.25">
      <c r="B37" s="227"/>
      <c r="C37" s="291" t="s">
        <v>123</v>
      </c>
      <c r="D37" s="133" t="s">
        <v>697</v>
      </c>
      <c r="F37" s="291" t="s">
        <v>28</v>
      </c>
      <c r="G37" s="292" t="s">
        <v>668</v>
      </c>
      <c r="H37" s="7"/>
      <c r="I37" s="185" t="s">
        <v>479</v>
      </c>
      <c r="J37" s="289" t="s">
        <v>843</v>
      </c>
      <c r="K37" s="80"/>
      <c r="L37" s="80"/>
      <c r="M37" s="80"/>
      <c r="N37" s="228"/>
      <c r="O37" s="4"/>
      <c r="AY37" s="68"/>
      <c r="AZ37" s="68"/>
      <c r="BA37" s="68"/>
      <c r="BB37" s="68"/>
      <c r="BC37" s="68"/>
      <c r="BD37" s="68"/>
      <c r="BE37" s="68"/>
      <c r="BF37" s="68"/>
      <c r="BG37" s="68"/>
      <c r="BH37" s="68"/>
      <c r="BI37" s="68"/>
    </row>
    <row r="38" spans="2:61" x14ac:dyDescent="0.2">
      <c r="B38" s="227"/>
      <c r="C38" s="287"/>
      <c r="D38" s="287"/>
      <c r="E38" s="287"/>
      <c r="F38" s="293" t="s">
        <v>37</v>
      </c>
      <c r="G38" s="287"/>
      <c r="H38" s="80"/>
      <c r="I38" s="1"/>
      <c r="J38" s="80"/>
      <c r="K38" s="7"/>
      <c r="L38" s="7"/>
      <c r="M38" s="7"/>
      <c r="N38" s="228"/>
      <c r="O38" s="4"/>
    </row>
    <row r="39" spans="2:61" x14ac:dyDescent="0.2">
      <c r="B39" s="227"/>
      <c r="C39" s="287"/>
      <c r="D39" s="287"/>
      <c r="E39" s="287"/>
      <c r="F39" s="287"/>
      <c r="G39" s="287"/>
      <c r="H39" s="1"/>
      <c r="I39" s="57"/>
      <c r="J39" s="7"/>
      <c r="K39" s="7"/>
      <c r="L39" s="7"/>
      <c r="M39" s="7"/>
      <c r="N39" s="228"/>
      <c r="O39" s="4"/>
    </row>
    <row r="40" spans="2:61" x14ac:dyDescent="0.2">
      <c r="B40" s="227"/>
      <c r="C40" s="294" t="s">
        <v>766</v>
      </c>
      <c r="D40" s="287"/>
      <c r="E40" s="287"/>
      <c r="F40" s="287"/>
      <c r="G40" s="287"/>
      <c r="H40" s="7"/>
      <c r="I40" s="7"/>
      <c r="J40" s="7"/>
      <c r="K40" s="7"/>
      <c r="L40" s="7"/>
      <c r="M40" s="7"/>
      <c r="N40" s="228"/>
      <c r="O40" s="4"/>
    </row>
    <row r="41" spans="2:61" x14ac:dyDescent="0.2">
      <c r="B41" s="227"/>
      <c r="C41" s="294" t="s">
        <v>767</v>
      </c>
      <c r="D41" s="287"/>
      <c r="E41" s="287"/>
      <c r="F41" s="287"/>
      <c r="G41" s="287"/>
      <c r="H41" s="7"/>
      <c r="I41" s="7"/>
      <c r="J41" s="7"/>
      <c r="K41" s="7"/>
      <c r="L41" s="7"/>
      <c r="M41" s="7"/>
      <c r="N41" s="228"/>
      <c r="O41" s="4"/>
    </row>
    <row r="42" spans="2:61" x14ac:dyDescent="0.2">
      <c r="B42" s="227"/>
      <c r="C42" s="294" t="s">
        <v>768</v>
      </c>
      <c r="D42" s="287"/>
      <c r="E42" s="287"/>
      <c r="F42" s="287"/>
      <c r="G42" s="287"/>
      <c r="H42" s="7"/>
      <c r="I42" s="7"/>
      <c r="J42" s="7"/>
      <c r="K42" s="7"/>
      <c r="L42" s="7"/>
      <c r="M42" s="7"/>
      <c r="N42" s="228"/>
      <c r="O42" s="4"/>
    </row>
    <row r="43" spans="2:61" x14ac:dyDescent="0.2">
      <c r="B43" s="227"/>
      <c r="C43" s="294"/>
      <c r="D43" s="287"/>
      <c r="E43" s="287"/>
      <c r="F43" s="287"/>
      <c r="G43" s="287"/>
      <c r="H43" s="7"/>
      <c r="I43" s="7"/>
      <c r="J43" s="7"/>
      <c r="K43" s="7"/>
      <c r="L43" s="7"/>
      <c r="M43" s="7"/>
      <c r="N43" s="228"/>
      <c r="O43" s="4"/>
    </row>
    <row r="44" spans="2:61" x14ac:dyDescent="0.2">
      <c r="B44" s="227"/>
      <c r="C44" s="295" t="s">
        <v>321</v>
      </c>
      <c r="D44" s="287"/>
      <c r="E44" s="287"/>
      <c r="F44" s="296" t="s">
        <v>322</v>
      </c>
      <c r="G44" s="287"/>
      <c r="H44" s="7"/>
      <c r="I44" s="7"/>
      <c r="J44" s="7"/>
      <c r="K44" s="7"/>
      <c r="L44" s="7"/>
      <c r="M44" s="7"/>
      <c r="N44" s="228"/>
      <c r="O44" s="4"/>
      <c r="P44" s="144"/>
    </row>
    <row r="45" spans="2:61" x14ac:dyDescent="0.2">
      <c r="B45" s="227"/>
      <c r="C45" s="47" t="s">
        <v>38</v>
      </c>
      <c r="D45" s="47" t="s">
        <v>43</v>
      </c>
      <c r="E45" s="47" t="s">
        <v>39</v>
      </c>
      <c r="F45" s="47" t="s">
        <v>40</v>
      </c>
      <c r="G45" s="47" t="s">
        <v>41</v>
      </c>
      <c r="H45" s="26" t="s">
        <v>42</v>
      </c>
      <c r="I45" s="26" t="s">
        <v>49</v>
      </c>
      <c r="J45" s="26" t="s">
        <v>66</v>
      </c>
      <c r="K45" s="26" t="s">
        <v>51</v>
      </c>
      <c r="L45" s="27" t="s">
        <v>44</v>
      </c>
      <c r="M45" s="28"/>
      <c r="N45" s="228"/>
      <c r="O45" s="4"/>
    </row>
    <row r="46" spans="2:61" x14ac:dyDescent="0.2">
      <c r="B46" s="227"/>
      <c r="C46" s="29" t="s">
        <v>45</v>
      </c>
      <c r="D46" s="29" t="s">
        <v>46</v>
      </c>
      <c r="E46" s="29" t="s">
        <v>47</v>
      </c>
      <c r="F46" s="29" t="s">
        <v>47</v>
      </c>
      <c r="G46" s="29" t="s">
        <v>47</v>
      </c>
      <c r="H46" s="29" t="s">
        <v>47</v>
      </c>
      <c r="I46" s="29" t="s">
        <v>48</v>
      </c>
      <c r="J46" s="29" t="s">
        <v>48</v>
      </c>
      <c r="K46" s="29" t="s">
        <v>50</v>
      </c>
      <c r="L46" s="29" t="s">
        <v>50</v>
      </c>
      <c r="M46" s="30"/>
      <c r="N46" s="228"/>
      <c r="O46" s="4"/>
    </row>
    <row r="47" spans="2:61" x14ac:dyDescent="0.2">
      <c r="B47" s="227"/>
      <c r="C47" s="50">
        <v>6</v>
      </c>
      <c r="D47" s="34" t="str">
        <f>IF(H$12="","",VLOOKUP(H$12,[1]Data!$S$32:$X$37,3,FALSE))</f>
        <v/>
      </c>
      <c r="E47" s="164" t="s">
        <v>769</v>
      </c>
      <c r="F47" s="164" t="s">
        <v>770</v>
      </c>
      <c r="G47" s="164" t="s">
        <v>771</v>
      </c>
      <c r="H47" s="38" t="e">
        <f>IF(OR(E47&lt;&gt;"",F47&lt;&gt;"",G47&lt;&gt;""),AVERAGE(E47:G47),"")</f>
        <v>#DIV/0!</v>
      </c>
      <c r="I47" s="35" t="e">
        <f>IF(OR(H47="",D47="",$J$35="",$J$37=""),"",H47*D47*$J$35*$J$37)</f>
        <v>#DIV/0!</v>
      </c>
      <c r="J47" s="35">
        <f>IF(C47="","",100)</f>
        <v>100</v>
      </c>
      <c r="K47" s="35" t="e">
        <f>IF(I47&lt;&gt;"",I47-J47,"")</f>
        <v>#DIV/0!</v>
      </c>
      <c r="L47" s="35">
        <f>IF(C47="","",2)</f>
        <v>2</v>
      </c>
      <c r="M47" s="36" t="e">
        <f>IF(K47="","",IF(ABS(K47)&lt;=L47/2,"PASS",IF(ABS(K47)&lt;=L47,"MARGINAL","FAIL")))</f>
        <v>#DIV/0!</v>
      </c>
      <c r="N47" s="231"/>
      <c r="O47" s="4"/>
    </row>
    <row r="48" spans="2:61" x14ac:dyDescent="0.2">
      <c r="B48" s="227"/>
      <c r="C48" s="53">
        <v>10</v>
      </c>
      <c r="D48" s="34" t="str">
        <f>IF(H$12="","",VLOOKUP(H$12,[1]Data!$S$32:$X$37,4,FALSE))</f>
        <v/>
      </c>
      <c r="E48" s="164" t="s">
        <v>772</v>
      </c>
      <c r="F48" s="164" t="s">
        <v>773</v>
      </c>
      <c r="G48" s="164" t="s">
        <v>774</v>
      </c>
      <c r="H48" s="38" t="e">
        <f>IF(OR(E48&lt;&gt;"",F48&lt;&gt;"",G48&lt;&gt;""),AVERAGE(E48:G48),"")</f>
        <v>#DIV/0!</v>
      </c>
      <c r="I48" s="35" t="e">
        <f>IF(OR(H48="",D48="",$J$35="",$J$37=""),"",H48*D48*$J$35*$J$37)</f>
        <v>#DIV/0!</v>
      </c>
      <c r="J48" s="39">
        <f>IF(C48="","",100)</f>
        <v>100</v>
      </c>
      <c r="K48" s="39" t="e">
        <f>IF(I48&lt;&gt;"",I48-J48,"")</f>
        <v>#DIV/0!</v>
      </c>
      <c r="L48" s="39">
        <f>IF(C48="","",2)</f>
        <v>2</v>
      </c>
      <c r="M48" s="36" t="e">
        <f>IF(K48="","",IF(ABS(K48)&lt;=L48/2,"PASS",IF(ABS(K48)&lt;=L48,"MARGINAL","FAIL")))</f>
        <v>#DIV/0!</v>
      </c>
      <c r="N48" s="231"/>
      <c r="O48" s="4"/>
    </row>
    <row r="49" spans="2:16" x14ac:dyDescent="0.2">
      <c r="B49" s="227"/>
      <c r="C49" s="53" t="s">
        <v>137</v>
      </c>
      <c r="D49" s="34" t="str">
        <f>IF(H$12="","",VLOOKUP(H$12,[1]Data!$S$32:$X$37,6,FALSE))</f>
        <v/>
      </c>
      <c r="E49" s="164" t="s">
        <v>775</v>
      </c>
      <c r="F49" s="164" t="s">
        <v>776</v>
      </c>
      <c r="G49" s="164" t="s">
        <v>777</v>
      </c>
      <c r="H49" s="38" t="e">
        <f>IF(OR(E49&lt;&gt;"",F49&lt;&gt;"",G49&lt;&gt;""),AVERAGE(E49:G49),"")</f>
        <v>#DIV/0!</v>
      </c>
      <c r="I49" s="35" t="e">
        <f>IF(OR(H49="",D49="",$J$35="",$J$37=""),"",H49*D49*$J$35*$J$37)</f>
        <v>#DIV/0!</v>
      </c>
      <c r="J49" s="39">
        <f>IF(C49="","",100)</f>
        <v>100</v>
      </c>
      <c r="K49" s="39" t="e">
        <f>IF(I49&lt;&gt;"",I49-J49,"")</f>
        <v>#DIV/0!</v>
      </c>
      <c r="L49" s="39">
        <f>IF(C49="","",2)</f>
        <v>2</v>
      </c>
      <c r="M49" s="36" t="e">
        <f>IF(K49="","",IF(ABS(K49)&lt;=L49/2,"PASS",IF(ABS(K49)&lt;=L49,"MARGINAL","FAIL")))</f>
        <v>#DIV/0!</v>
      </c>
      <c r="N49" s="231"/>
      <c r="O49" s="4"/>
    </row>
    <row r="50" spans="2:16" x14ac:dyDescent="0.2">
      <c r="B50" s="227"/>
      <c r="C50" s="53">
        <v>15</v>
      </c>
      <c r="D50" s="34" t="str">
        <f>IF(H$12="","",VLOOKUP(H$12,[1]Data!$S$32:$X$37,5,FALSE))</f>
        <v/>
      </c>
      <c r="E50" s="164" t="s">
        <v>778</v>
      </c>
      <c r="F50" s="164" t="s">
        <v>779</v>
      </c>
      <c r="G50" s="164" t="s">
        <v>780</v>
      </c>
      <c r="H50" s="38" t="e">
        <f>IF(OR(E50&lt;&gt;"",F50&lt;&gt;"",G50&lt;&gt;""),AVERAGE(E50:G50),"")</f>
        <v>#DIV/0!</v>
      </c>
      <c r="I50" s="35" t="e">
        <f>IF(OR(H50="",D50="",$J$35="",$J$37=""),"",H50*D50*$J$35*$J$37)</f>
        <v>#DIV/0!</v>
      </c>
      <c r="J50" s="39">
        <f>IF(C50="","",100)</f>
        <v>100</v>
      </c>
      <c r="K50" s="39" t="e">
        <f>IF(I50&lt;&gt;"",I50-J50,"")</f>
        <v>#DIV/0!</v>
      </c>
      <c r="L50" s="39">
        <f>IF(C50="","",2)</f>
        <v>2</v>
      </c>
      <c r="M50" s="36" t="e">
        <f>IF(K50="","",IF(ABS(K50)&lt;=L50/2,"PASS",IF(ABS(K50)&lt;=L50,"MARGINAL","FAIL")))</f>
        <v>#DIV/0!</v>
      </c>
      <c r="N50" s="231"/>
      <c r="O50" s="4"/>
    </row>
    <row r="51" spans="2:16" x14ac:dyDescent="0.2">
      <c r="B51" s="227"/>
      <c r="C51" s="287"/>
      <c r="D51" s="287"/>
      <c r="E51" s="287"/>
      <c r="F51" s="287"/>
      <c r="G51" s="287"/>
      <c r="H51" s="7"/>
      <c r="I51" s="7"/>
      <c r="J51" s="7"/>
      <c r="K51" s="7"/>
      <c r="L51" s="7"/>
      <c r="M51" s="7"/>
      <c r="N51" s="228"/>
      <c r="O51" s="4"/>
    </row>
    <row r="52" spans="2:16" x14ac:dyDescent="0.2">
      <c r="B52" s="227"/>
      <c r="C52" s="295" t="s">
        <v>323</v>
      </c>
      <c r="D52" s="287"/>
      <c r="E52" s="287"/>
      <c r="F52" s="296" t="s">
        <v>322</v>
      </c>
      <c r="G52" s="287"/>
      <c r="H52" s="7"/>
      <c r="I52" s="7"/>
      <c r="J52" s="7"/>
      <c r="K52" s="7"/>
      <c r="L52" s="7"/>
      <c r="M52" s="7"/>
      <c r="N52" s="228"/>
      <c r="O52" s="4"/>
    </row>
    <row r="53" spans="2:16" x14ac:dyDescent="0.2">
      <c r="B53" s="227"/>
      <c r="C53" s="170" t="s">
        <v>38</v>
      </c>
      <c r="D53" s="170" t="s">
        <v>55</v>
      </c>
      <c r="E53" s="170" t="s">
        <v>53</v>
      </c>
      <c r="F53" s="170" t="s">
        <v>57</v>
      </c>
      <c r="G53" s="170" t="s">
        <v>42</v>
      </c>
      <c r="H53" s="27" t="s">
        <v>56</v>
      </c>
      <c r="I53" s="27" t="s">
        <v>66</v>
      </c>
      <c r="J53" s="27" t="s">
        <v>51</v>
      </c>
      <c r="K53" s="27" t="s">
        <v>44</v>
      </c>
      <c r="L53" s="40"/>
      <c r="M53" s="41"/>
      <c r="N53" s="232"/>
      <c r="O53" s="4"/>
    </row>
    <row r="54" spans="2:16" x14ac:dyDescent="0.2">
      <c r="B54" s="227"/>
      <c r="C54" s="29" t="s">
        <v>45</v>
      </c>
      <c r="D54" s="29" t="s">
        <v>47</v>
      </c>
      <c r="E54" s="29"/>
      <c r="F54" s="29"/>
      <c r="G54" s="29" t="s">
        <v>47</v>
      </c>
      <c r="H54" s="42"/>
      <c r="I54" s="29"/>
      <c r="J54" s="29" t="s">
        <v>50</v>
      </c>
      <c r="K54" s="29" t="s">
        <v>50</v>
      </c>
      <c r="L54" s="40"/>
      <c r="M54" s="41"/>
      <c r="N54" s="232"/>
      <c r="O54" s="4"/>
    </row>
    <row r="55" spans="2:16" x14ac:dyDescent="0.2">
      <c r="B55" s="227"/>
      <c r="C55" s="32">
        <v>6</v>
      </c>
      <c r="D55" s="34" t="e">
        <f>IF(H47="","",H47)</f>
        <v>#DIV/0!</v>
      </c>
      <c r="E55" s="145" t="s">
        <v>781</v>
      </c>
      <c r="F55" s="145" t="s">
        <v>782</v>
      </c>
      <c r="G55" s="44" t="e">
        <f>IF(AND(E55="",F55=""),"",AVERAGE(E55:F55))</f>
        <v>#DIV/0!</v>
      </c>
      <c r="H55" s="44" t="e">
        <f>IF(OR(D55="",G55=""),"",G55/D55)</f>
        <v>#DIV/0!</v>
      </c>
      <c r="I55" s="32">
        <f>Data!B52</f>
        <v>0.65500000000000003</v>
      </c>
      <c r="J55" s="35" t="e">
        <f>IF(H55="","",100*(H55-I55)/I55)</f>
        <v>#DIV/0!</v>
      </c>
      <c r="K55" s="35">
        <v>2</v>
      </c>
      <c r="L55" s="36" t="e">
        <f>IF(J55="","",IF(ABS(J55)&lt;=K55/2,"PASS",IF(ABS(J55)&lt;=K55,"MARGINAL","FAIL")))</f>
        <v>#DIV/0!</v>
      </c>
      <c r="M55" s="41"/>
      <c r="N55" s="232"/>
      <c r="O55" s="4"/>
    </row>
    <row r="56" spans="2:16" x14ac:dyDescent="0.2">
      <c r="B56" s="227"/>
      <c r="C56" s="29">
        <v>10</v>
      </c>
      <c r="D56" s="38" t="e">
        <f>IF(H48="","",H48)</f>
        <v>#DIV/0!</v>
      </c>
      <c r="E56" s="298" t="s">
        <v>783</v>
      </c>
      <c r="F56" s="298" t="s">
        <v>784</v>
      </c>
      <c r="G56" s="38" t="e">
        <f>IF(AND(E56="",F56=""),"",AVERAGE(E56:F56))</f>
        <v>#DIV/0!</v>
      </c>
      <c r="H56" s="44" t="e">
        <f>IF(OR(D56="",G56=""),"",G56/D56)</f>
        <v>#DIV/0!</v>
      </c>
      <c r="I56" s="32">
        <f>Data!B53</f>
        <v>0.69599999999999995</v>
      </c>
      <c r="J56" s="35" t="e">
        <f>IF(H56="","",100*(H56-I56)/I56)</f>
        <v>#DIV/0!</v>
      </c>
      <c r="K56" s="39">
        <v>2</v>
      </c>
      <c r="L56" s="36" t="e">
        <f>IF(J56="","",IF(ABS(J56)&lt;=K56/2,"PASS",IF(ABS(J56)&lt;=K56,"MARGINAL","FAIL")))</f>
        <v>#DIV/0!</v>
      </c>
      <c r="M56" s="41"/>
      <c r="N56" s="232"/>
      <c r="O56" s="4"/>
    </row>
    <row r="57" spans="2:16" x14ac:dyDescent="0.2">
      <c r="B57" s="227"/>
      <c r="C57" s="29">
        <v>15</v>
      </c>
      <c r="D57" s="38" t="e">
        <f>IF(H50="","",H50)</f>
        <v>#DIV/0!</v>
      </c>
      <c r="E57" s="298" t="s">
        <v>785</v>
      </c>
      <c r="F57" s="298" t="s">
        <v>786</v>
      </c>
      <c r="G57" s="38" t="e">
        <f>IF(AND(E57="",F57=""),"",AVERAGE(E57:F57))</f>
        <v>#DIV/0!</v>
      </c>
      <c r="H57" s="44" t="e">
        <f>IF(OR(D57="",G57=""),"",G57/D57)</f>
        <v>#DIV/0!</v>
      </c>
      <c r="I57" s="32">
        <f>Data!B54</f>
        <v>0.71199999999999997</v>
      </c>
      <c r="J57" s="35" t="e">
        <f>IF(H57="","",100*(H57-I57)/I57)</f>
        <v>#DIV/0!</v>
      </c>
      <c r="K57" s="39">
        <v>2</v>
      </c>
      <c r="L57" s="36" t="e">
        <f>IF(J57="","",IF(ABS(J57)&lt;=K57/2,"PASS",IF(ABS(J57)&lt;=K57,"MARGINAL","FAIL")))</f>
        <v>#DIV/0!</v>
      </c>
      <c r="M57" s="41"/>
      <c r="N57" s="232"/>
      <c r="O57" s="4"/>
    </row>
    <row r="58" spans="2:16" x14ac:dyDescent="0.2">
      <c r="B58" s="227"/>
      <c r="C58" s="287"/>
      <c r="D58" s="287"/>
      <c r="E58" s="287"/>
      <c r="F58" s="287"/>
      <c r="G58" s="287"/>
      <c r="H58" s="7"/>
      <c r="I58" s="7"/>
      <c r="J58" s="7"/>
      <c r="K58" s="7"/>
      <c r="L58" s="7"/>
      <c r="M58" s="7"/>
      <c r="N58" s="228"/>
      <c r="O58" s="4"/>
    </row>
    <row r="59" spans="2:16" x14ac:dyDescent="0.2">
      <c r="B59" s="227"/>
      <c r="C59" s="295" t="s">
        <v>324</v>
      </c>
      <c r="D59" s="287"/>
      <c r="E59" s="287"/>
      <c r="F59" s="296" t="str">
        <f>IF(H12="VIOAK_TB6","2dMLC_HD_OP.dcm","2dMLC_OP.dcm")</f>
        <v>2dMLC_OP.dcm</v>
      </c>
      <c r="G59" s="287"/>
      <c r="H59" s="7"/>
      <c r="I59" s="7"/>
      <c r="J59" s="7"/>
      <c r="K59" s="7"/>
      <c r="L59" s="7"/>
      <c r="M59" s="7"/>
      <c r="N59" s="228"/>
      <c r="O59" s="4"/>
    </row>
    <row r="60" spans="2:16" x14ac:dyDescent="0.2">
      <c r="B60" s="227"/>
      <c r="C60" s="170" t="s">
        <v>38</v>
      </c>
      <c r="D60" s="170" t="s">
        <v>142</v>
      </c>
      <c r="E60" s="170" t="s">
        <v>55</v>
      </c>
      <c r="F60" s="47" t="s">
        <v>145</v>
      </c>
      <c r="G60" s="47" t="s">
        <v>146</v>
      </c>
      <c r="H60" s="26" t="s">
        <v>42</v>
      </c>
      <c r="I60" s="26" t="s">
        <v>67</v>
      </c>
      <c r="J60" s="27" t="s">
        <v>66</v>
      </c>
      <c r="K60" s="27" t="s">
        <v>51</v>
      </c>
      <c r="L60" s="47" t="s">
        <v>44</v>
      </c>
      <c r="M60" s="48"/>
      <c r="N60" s="233"/>
      <c r="O60" s="4"/>
    </row>
    <row r="61" spans="2:16" x14ac:dyDescent="0.2">
      <c r="B61" s="227"/>
      <c r="C61" s="29" t="s">
        <v>45</v>
      </c>
      <c r="D61" s="29"/>
      <c r="E61" s="53" t="s">
        <v>47</v>
      </c>
      <c r="F61" s="53" t="s">
        <v>47</v>
      </c>
      <c r="G61" s="53" t="s">
        <v>47</v>
      </c>
      <c r="H61" s="53" t="s">
        <v>47</v>
      </c>
      <c r="I61" s="53"/>
      <c r="J61" s="53"/>
      <c r="K61" s="29" t="s">
        <v>50</v>
      </c>
      <c r="L61" s="53" t="s">
        <v>50</v>
      </c>
      <c r="M61" s="40"/>
      <c r="N61" s="232"/>
      <c r="O61" s="4"/>
    </row>
    <row r="62" spans="2:16" x14ac:dyDescent="0.2">
      <c r="B62" s="227"/>
      <c r="C62" s="32">
        <v>6</v>
      </c>
      <c r="D62" s="50" t="s">
        <v>147</v>
      </c>
      <c r="E62" s="84" t="e">
        <f>IF($H$47="","",$H$47)</f>
        <v>#DIV/0!</v>
      </c>
      <c r="F62" s="145" t="s">
        <v>787</v>
      </c>
      <c r="G62" s="145" t="s">
        <v>788</v>
      </c>
      <c r="H62" s="44" t="e">
        <f>IF(AND(F62="",G62=""),"",AVERAGE(F62:G62))</f>
        <v>#DIV/0!</v>
      </c>
      <c r="I62" s="56" t="e">
        <f>IF(OR(E62="",H62=""),"",H62/E62)</f>
        <v>#DIV/0!</v>
      </c>
      <c r="J62" s="56">
        <f>IF($H$12="VIOAK_TB6",Data!L52,Data!K52)</f>
        <v>7.46E-2</v>
      </c>
      <c r="K62" s="35" t="e">
        <f>IF(I62="","",100*(I62-J62)/J62)</f>
        <v>#DIV/0!</v>
      </c>
      <c r="L62" s="35">
        <v>2</v>
      </c>
      <c r="M62" s="36" t="e">
        <f>IF(K62="","",IF(ABS(K62)&lt;=L62/2,"PASS",IF(ABS(K62)&lt;=L62,"MARGINAL","FAIL")))</f>
        <v>#DIV/0!</v>
      </c>
      <c r="N62" s="231"/>
      <c r="O62" s="4"/>
    </row>
    <row r="63" spans="2:16" x14ac:dyDescent="0.2">
      <c r="B63" s="227"/>
      <c r="C63" s="29">
        <v>6</v>
      </c>
      <c r="D63" s="53" t="s">
        <v>789</v>
      </c>
      <c r="E63" s="84" t="e">
        <f>IF($H$47="","",$H$47)</f>
        <v>#DIV/0!</v>
      </c>
      <c r="F63" s="299" t="s">
        <v>790</v>
      </c>
      <c r="G63" s="299" t="s">
        <v>791</v>
      </c>
      <c r="H63" s="44" t="e">
        <f>IF(AND(F63="",G63=""),"",AVERAGE(F63:G63))</f>
        <v>#DIV/0!</v>
      </c>
      <c r="I63" s="56" t="e">
        <f>IF(OR(E63="",H63=""),"",H63/E63)</f>
        <v>#DIV/0!</v>
      </c>
      <c r="J63" s="56">
        <f>IF($H$12="VIOAK_TB6",Data!L52,Data!K52)</f>
        <v>7.46E-2</v>
      </c>
      <c r="K63" s="35" t="e">
        <f>IF(I63="","",100*(I63-J63)/J63)</f>
        <v>#DIV/0!</v>
      </c>
      <c r="L63" s="39">
        <v>3</v>
      </c>
      <c r="M63" s="36" t="e">
        <f>IF(K63="","",IF(ABS(K63)&lt;=L63/2,"PASS",IF(ABS(K63)&lt;=L63,"MARGINAL","FAIL")))</f>
        <v>#DIV/0!</v>
      </c>
      <c r="N63" s="231"/>
      <c r="O63" s="4"/>
      <c r="P63" s="94"/>
    </row>
    <row r="64" spans="2:16" x14ac:dyDescent="0.2">
      <c r="B64" s="227"/>
      <c r="C64" s="29">
        <v>6</v>
      </c>
      <c r="D64" s="53" t="s">
        <v>155</v>
      </c>
      <c r="E64" s="84" t="e">
        <f>IF($H$47="","",$H$47)</f>
        <v>#DIV/0!</v>
      </c>
      <c r="F64" s="298" t="s">
        <v>792</v>
      </c>
      <c r="G64" s="298" t="s">
        <v>793</v>
      </c>
      <c r="H64" s="34" t="e">
        <f>IF(AND(F64="",G64=""),"",AVERAGE(F64:G64))</f>
        <v>#DIV/0!</v>
      </c>
      <c r="I64" s="44" t="e">
        <f>IF(OR(E64="",H64=""),"",H64/E64)</f>
        <v>#DIV/0!</v>
      </c>
      <c r="J64" s="56">
        <f>IF($H$12="VIOAK_TB6",Data!L53,Data!K53)</f>
        <v>0.93</v>
      </c>
      <c r="K64" s="35" t="e">
        <f>IF(I64="","",100*(I64-J64)/J64)</f>
        <v>#DIV/0!</v>
      </c>
      <c r="L64" s="39">
        <v>2</v>
      </c>
      <c r="M64" s="36" t="e">
        <f>IF(K64="","",IF(ABS(K64)&lt;=L64/2,"PASS",IF(ABS(K64)&lt;=L64,"MARGINAL","FAIL")))</f>
        <v>#DIV/0!</v>
      </c>
      <c r="N64" s="231"/>
      <c r="O64" s="4"/>
      <c r="P64" s="94"/>
    </row>
    <row r="65" spans="2:16" x14ac:dyDescent="0.2">
      <c r="B65" s="227"/>
      <c r="C65" s="29">
        <v>6</v>
      </c>
      <c r="D65" s="53" t="s">
        <v>144</v>
      </c>
      <c r="E65" s="84" t="e">
        <f>IF($H$47="","",$H$47)</f>
        <v>#DIV/0!</v>
      </c>
      <c r="F65" s="299" t="s">
        <v>794</v>
      </c>
      <c r="G65" s="299" t="s">
        <v>795</v>
      </c>
      <c r="H65" s="44" t="e">
        <f>IF(AND(F65="",G65=""),"",AVERAGE(F65:G65))</f>
        <v>#DIV/0!</v>
      </c>
      <c r="I65" s="44" t="e">
        <f>IF(OR(E65="",H65=""),"",H65/E65)</f>
        <v>#DIV/0!</v>
      </c>
      <c r="J65" s="56">
        <f>IF($H$12="VIOAK_TB6",Data!L54,Data!K54)</f>
        <v>0.626</v>
      </c>
      <c r="K65" s="35" t="e">
        <f>IF(I65="","",100*(I65-J65)/J65)</f>
        <v>#DIV/0!</v>
      </c>
      <c r="L65" s="39">
        <v>2</v>
      </c>
      <c r="M65" s="36" t="e">
        <f>IF(K65="","",IF(ABS(K65)&lt;=L65/2,"PASS",IF(ABS(K65)&lt;=L65,"MARGINAL","FAIL")))</f>
        <v>#DIV/0!</v>
      </c>
      <c r="N65" s="231"/>
      <c r="O65" s="4"/>
      <c r="P65" s="94"/>
    </row>
    <row r="66" spans="2:16" x14ac:dyDescent="0.2">
      <c r="B66" s="227"/>
      <c r="C66" s="29">
        <v>6</v>
      </c>
      <c r="D66" s="53" t="s">
        <v>325</v>
      </c>
      <c r="E66" s="84" t="e">
        <f>IF($H$47="","",$H$47)</f>
        <v>#DIV/0!</v>
      </c>
      <c r="F66" s="299" t="s">
        <v>796</v>
      </c>
      <c r="G66" s="299" t="s">
        <v>797</v>
      </c>
      <c r="H66" s="44" t="e">
        <f>IF(AND(F66="",G66=""),"",AVERAGE(F66:G66))</f>
        <v>#DIV/0!</v>
      </c>
      <c r="I66" s="44" t="e">
        <f>IF(OR(E66="",H66=""),"",H66/E66)</f>
        <v>#DIV/0!</v>
      </c>
      <c r="J66" s="56">
        <f>IF($H$12="VIOAK_TB6",Data!L55,Data!K55)</f>
        <v>0.23400000000000001</v>
      </c>
      <c r="K66" s="35" t="e">
        <f>IF(I66="","",100*(I66-J66)/J66)</f>
        <v>#DIV/0!</v>
      </c>
      <c r="L66" s="39">
        <v>2</v>
      </c>
      <c r="M66" s="36" t="e">
        <f>IF(K66="","",IF(ABS(K66)&lt;=L66/2,"PASS",IF(ABS(K66)&lt;=L66,"MARGINAL","FAIL")))</f>
        <v>#DIV/0!</v>
      </c>
      <c r="N66" s="231"/>
      <c r="O66" s="4"/>
      <c r="P66" s="94"/>
    </row>
    <row r="67" spans="2:16" x14ac:dyDescent="0.2">
      <c r="B67" s="227"/>
      <c r="C67" s="300" t="s">
        <v>151</v>
      </c>
      <c r="D67" s="301"/>
      <c r="E67" s="302"/>
      <c r="F67" s="303"/>
      <c r="G67" s="303"/>
      <c r="H67" s="82"/>
      <c r="I67" s="55"/>
      <c r="J67" s="55"/>
      <c r="K67" s="54"/>
      <c r="L67" s="54"/>
      <c r="M67" s="52"/>
      <c r="N67" s="231"/>
      <c r="O67" s="4"/>
      <c r="P67" s="94"/>
    </row>
    <row r="68" spans="2:16" x14ac:dyDescent="0.2">
      <c r="B68" s="227"/>
      <c r="C68" s="287"/>
      <c r="D68" s="287"/>
      <c r="E68" s="287"/>
      <c r="F68" s="287"/>
      <c r="G68" s="287"/>
      <c r="H68" s="7"/>
      <c r="I68" s="7"/>
      <c r="J68" s="7"/>
      <c r="K68" s="7"/>
      <c r="L68" s="7"/>
      <c r="M68" s="7"/>
      <c r="N68" s="228"/>
      <c r="O68" s="4"/>
      <c r="P68" s="94"/>
    </row>
    <row r="69" spans="2:16" x14ac:dyDescent="0.2">
      <c r="B69" s="227"/>
      <c r="C69" s="295" t="s">
        <v>326</v>
      </c>
      <c r="D69" s="287"/>
      <c r="E69" s="287"/>
      <c r="F69" s="296" t="str">
        <f>IF(H12="VIOAK_TB6","3VMAT_HD.dcm","3VMAT_H&amp;N.dcm")</f>
        <v>3VMAT_H&amp;N.dcm</v>
      </c>
      <c r="G69" s="287"/>
      <c r="H69" s="161" t="s">
        <v>474</v>
      </c>
      <c r="I69" s="7"/>
      <c r="J69" s="7"/>
      <c r="K69" s="7"/>
      <c r="L69" s="7"/>
      <c r="M69" s="7"/>
      <c r="N69" s="228"/>
      <c r="O69" s="4"/>
    </row>
    <row r="70" spans="2:16" ht="15" customHeight="1" x14ac:dyDescent="0.2">
      <c r="B70" s="227"/>
      <c r="C70" s="170" t="s">
        <v>38</v>
      </c>
      <c r="D70" s="170" t="s">
        <v>142</v>
      </c>
      <c r="E70" s="170" t="s">
        <v>55</v>
      </c>
      <c r="F70" s="47" t="s">
        <v>145</v>
      </c>
      <c r="G70" s="47" t="s">
        <v>146</v>
      </c>
      <c r="H70" s="26" t="s">
        <v>42</v>
      </c>
      <c r="I70" s="26" t="s">
        <v>67</v>
      </c>
      <c r="J70" s="27" t="s">
        <v>66</v>
      </c>
      <c r="K70" s="27" t="s">
        <v>51</v>
      </c>
      <c r="L70" s="47" t="s">
        <v>44</v>
      </c>
      <c r="M70" s="48"/>
      <c r="N70" s="233"/>
      <c r="O70" s="4"/>
    </row>
    <row r="71" spans="2:16" x14ac:dyDescent="0.2">
      <c r="B71" s="227"/>
      <c r="C71" s="29" t="s">
        <v>45</v>
      </c>
      <c r="D71" s="29"/>
      <c r="E71" s="53" t="s">
        <v>47</v>
      </c>
      <c r="F71" s="53" t="s">
        <v>47</v>
      </c>
      <c r="G71" s="53" t="s">
        <v>47</v>
      </c>
      <c r="H71" s="53" t="s">
        <v>47</v>
      </c>
      <c r="I71" s="53"/>
      <c r="J71" s="53"/>
      <c r="K71" s="29" t="s">
        <v>50</v>
      </c>
      <c r="L71" s="53" t="s">
        <v>50</v>
      </c>
      <c r="M71" s="40"/>
      <c r="N71" s="232"/>
      <c r="O71" s="4"/>
    </row>
    <row r="72" spans="2:16" ht="17.25" customHeight="1" x14ac:dyDescent="0.2">
      <c r="B72" s="227"/>
      <c r="C72" s="32">
        <v>6</v>
      </c>
      <c r="D72" s="50" t="s">
        <v>220</v>
      </c>
      <c r="E72" s="84" t="e">
        <f>IF($H$47="","",$H$47)</f>
        <v>#DIV/0!</v>
      </c>
      <c r="F72" s="164" t="s">
        <v>798</v>
      </c>
      <c r="G72" s="164" t="s">
        <v>799</v>
      </c>
      <c r="H72" s="34" t="e">
        <f>IF(AND(F72="",G72=""),"",AVERAGE(F72:G72))</f>
        <v>#DIV/0!</v>
      </c>
      <c r="I72" s="44" t="e">
        <f>IF(OR(E72="",H72=""),"",H72/E72)</f>
        <v>#DIV/0!</v>
      </c>
      <c r="J72" s="56">
        <f>IF($H$12="VIOAK_TB6",Data!L56,Data!K56)</f>
        <v>1.498</v>
      </c>
      <c r="K72" s="35" t="e">
        <f>IF(I72="","",100*(I72-J72)/J72)</f>
        <v>#DIV/0!</v>
      </c>
      <c r="L72" s="35">
        <v>3</v>
      </c>
      <c r="M72" s="36" t="e">
        <f>IF(K72="","",IF(ABS(K72)&lt;=L72/2,"PASS",IF(ABS(K72)&lt;=L72,"MARGINAL","FAIL")))</f>
        <v>#DIV/0!</v>
      </c>
      <c r="N72" s="231"/>
      <c r="O72" s="4"/>
    </row>
    <row r="73" spans="2:16" x14ac:dyDescent="0.2">
      <c r="B73" s="227"/>
      <c r="C73" s="297"/>
      <c r="D73" s="301"/>
      <c r="E73" s="302"/>
      <c r="F73" s="303"/>
      <c r="G73" s="303"/>
      <c r="H73" s="82"/>
      <c r="I73" s="55"/>
      <c r="J73" s="88"/>
      <c r="K73" s="54"/>
      <c r="L73" s="54"/>
      <c r="M73" s="52"/>
      <c r="N73" s="231"/>
      <c r="O73" s="4"/>
    </row>
    <row r="74" spans="2:16" x14ac:dyDescent="0.2">
      <c r="B74" s="227"/>
      <c r="C74" s="295" t="s">
        <v>328</v>
      </c>
      <c r="D74" s="287"/>
      <c r="E74" s="287"/>
      <c r="F74" s="296" t="str">
        <f>IF(H12="VIOAK_TB6","4dMLC_HDErr.dcm","4dMLC_Error.dcm")</f>
        <v>4dMLC_Error.dcm</v>
      </c>
      <c r="G74" s="287"/>
      <c r="H74" s="7"/>
      <c r="I74" s="7"/>
      <c r="J74" s="7"/>
      <c r="K74" s="7"/>
      <c r="L74" s="7"/>
      <c r="M74" s="7"/>
      <c r="N74" s="228"/>
      <c r="O74" s="4"/>
    </row>
    <row r="75" spans="2:16" x14ac:dyDescent="0.2">
      <c r="B75" s="227"/>
      <c r="C75" s="170" t="s">
        <v>38</v>
      </c>
      <c r="D75" s="170" t="s">
        <v>142</v>
      </c>
      <c r="E75" s="47" t="s">
        <v>153</v>
      </c>
      <c r="F75" s="48"/>
      <c r="G75" s="301"/>
      <c r="H75" s="83"/>
      <c r="I75" s="83"/>
      <c r="J75" s="83"/>
      <c r="K75" s="83"/>
      <c r="L75" s="83"/>
      <c r="M75" s="83"/>
      <c r="N75" s="233"/>
      <c r="O75" s="4"/>
    </row>
    <row r="76" spans="2:16" x14ac:dyDescent="0.2">
      <c r="B76" s="227"/>
      <c r="C76" s="29" t="s">
        <v>45</v>
      </c>
      <c r="D76" s="29"/>
      <c r="E76" s="53"/>
      <c r="F76" s="40"/>
      <c r="G76" s="297"/>
      <c r="H76" s="41"/>
      <c r="I76" s="41"/>
      <c r="J76" s="41"/>
      <c r="K76" s="41"/>
      <c r="L76" s="41"/>
      <c r="M76" s="41"/>
      <c r="N76" s="232"/>
      <c r="O76" s="4"/>
    </row>
    <row r="77" spans="2:16" x14ac:dyDescent="0.2">
      <c r="B77" s="227"/>
      <c r="C77" s="32">
        <v>6</v>
      </c>
      <c r="D77" s="50" t="s">
        <v>152</v>
      </c>
      <c r="E77" s="164" t="s">
        <v>800</v>
      </c>
      <c r="F77" s="297"/>
      <c r="G77" s="304"/>
      <c r="H77" s="52"/>
      <c r="I77" s="52"/>
      <c r="J77" s="52"/>
      <c r="K77" s="52"/>
      <c r="L77" s="52"/>
      <c r="M77" s="52"/>
      <c r="N77" s="231"/>
      <c r="O77" s="4"/>
    </row>
    <row r="78" spans="2:16" x14ac:dyDescent="0.2">
      <c r="B78" s="227"/>
      <c r="C78" s="300" t="s">
        <v>154</v>
      </c>
      <c r="D78" s="301"/>
      <c r="E78" s="302"/>
      <c r="F78" s="303"/>
      <c r="G78" s="303"/>
      <c r="H78" s="82"/>
      <c r="I78" s="55"/>
      <c r="J78" s="88"/>
      <c r="K78" s="54"/>
      <c r="L78" s="54"/>
      <c r="M78" s="52"/>
      <c r="N78" s="231"/>
      <c r="O78" s="4"/>
    </row>
    <row r="79" spans="2:16" x14ac:dyDescent="0.2">
      <c r="B79" s="227"/>
      <c r="C79" s="304"/>
      <c r="D79" s="304"/>
      <c r="E79" s="304"/>
      <c r="F79" s="304"/>
      <c r="G79" s="304"/>
      <c r="H79" s="52"/>
      <c r="I79" s="52"/>
      <c r="J79" s="52"/>
      <c r="K79" s="52"/>
      <c r="L79" s="52"/>
      <c r="M79" s="52"/>
      <c r="N79" s="231"/>
      <c r="O79" s="4"/>
    </row>
    <row r="80" spans="2:16" x14ac:dyDescent="0.2">
      <c r="B80" s="227"/>
      <c r="C80" s="294" t="s">
        <v>801</v>
      </c>
      <c r="D80" s="287"/>
      <c r="E80" s="287"/>
      <c r="F80" s="287"/>
      <c r="G80" s="287"/>
      <c r="H80" s="7"/>
      <c r="I80" s="7"/>
      <c r="J80" s="7"/>
      <c r="K80" s="7"/>
      <c r="L80" s="7"/>
      <c r="M80" s="7"/>
      <c r="N80" s="228"/>
      <c r="O80" s="4"/>
    </row>
    <row r="81" spans="2:20" x14ac:dyDescent="0.2">
      <c r="B81" s="227"/>
      <c r="C81" s="294"/>
      <c r="D81" s="287"/>
      <c r="E81" s="287"/>
      <c r="F81" s="287"/>
      <c r="G81" s="287"/>
      <c r="H81" s="7"/>
      <c r="I81" s="7"/>
      <c r="J81" s="7"/>
      <c r="K81" s="7"/>
      <c r="L81" s="7"/>
      <c r="M81" s="7"/>
      <c r="N81" s="228"/>
      <c r="O81" s="4"/>
    </row>
    <row r="82" spans="2:20" x14ac:dyDescent="0.2">
      <c r="B82" s="227"/>
      <c r="C82" s="295" t="s">
        <v>327</v>
      </c>
      <c r="D82" s="287"/>
      <c r="E82" s="287"/>
      <c r="F82" s="296" t="s">
        <v>329</v>
      </c>
      <c r="H82" s="7"/>
      <c r="I82" s="7"/>
      <c r="J82" s="7"/>
      <c r="K82" s="7"/>
      <c r="L82" s="7"/>
      <c r="M82" s="7"/>
      <c r="N82" s="228"/>
      <c r="O82" s="4"/>
      <c r="Q82" s="111"/>
    </row>
    <row r="83" spans="2:20" x14ac:dyDescent="0.2">
      <c r="B83" s="227"/>
      <c r="C83" s="170" t="s">
        <v>38</v>
      </c>
      <c r="D83" s="170" t="s">
        <v>124</v>
      </c>
      <c r="E83" s="170" t="s">
        <v>358</v>
      </c>
      <c r="F83" s="170" t="s">
        <v>61</v>
      </c>
      <c r="G83" s="170" t="s">
        <v>62</v>
      </c>
      <c r="H83" s="27" t="s">
        <v>42</v>
      </c>
      <c r="I83" s="27" t="s">
        <v>63</v>
      </c>
      <c r="J83" s="27" t="s">
        <v>66</v>
      </c>
      <c r="K83" s="27" t="s">
        <v>51</v>
      </c>
      <c r="L83" s="27" t="s">
        <v>44</v>
      </c>
      <c r="M83" s="28"/>
      <c r="N83" s="228"/>
      <c r="O83" s="4"/>
    </row>
    <row r="84" spans="2:20" x14ac:dyDescent="0.2">
      <c r="B84" s="227"/>
      <c r="C84" s="29" t="s">
        <v>45</v>
      </c>
      <c r="D84" s="29" t="s">
        <v>47</v>
      </c>
      <c r="E84" s="29" t="s">
        <v>58</v>
      </c>
      <c r="F84" s="29"/>
      <c r="G84" s="29"/>
      <c r="H84" s="29" t="s">
        <v>47</v>
      </c>
      <c r="I84" s="29"/>
      <c r="J84" s="29"/>
      <c r="K84" s="29" t="s">
        <v>50</v>
      </c>
      <c r="L84" s="29" t="s">
        <v>50</v>
      </c>
      <c r="M84" s="30"/>
      <c r="N84" s="228"/>
      <c r="O84" s="4"/>
      <c r="T84" s="169"/>
    </row>
    <row r="85" spans="2:20" ht="15" x14ac:dyDescent="0.25">
      <c r="B85" s="227"/>
      <c r="C85" s="29">
        <v>6</v>
      </c>
      <c r="D85" s="34" t="e">
        <f>IF(H47="","",H47)</f>
        <v>#DIV/0!</v>
      </c>
      <c r="E85" s="100">
        <v>2.5</v>
      </c>
      <c r="F85" s="164" t="s">
        <v>802</v>
      </c>
      <c r="G85" s="164" t="s">
        <v>803</v>
      </c>
      <c r="H85" s="34" t="e">
        <f>IF(AND(F85="",G85=""),"",AVERAGE(F85:G85))</f>
        <v>#DIV/0!</v>
      </c>
      <c r="I85" s="44" t="e">
        <f>IF(OR(D85="",H85=""),"",D85/H85)</f>
        <v>#DIV/0!</v>
      </c>
      <c r="J85" s="44">
        <f>Data!H52</f>
        <v>0.78400000000000003</v>
      </c>
      <c r="K85" s="35" t="e">
        <f>IF(I85="","",100*(I85-J85)/J85)</f>
        <v>#DIV/0!</v>
      </c>
      <c r="L85" s="35">
        <v>2</v>
      </c>
      <c r="M85" s="36" t="e">
        <f>IF(K85="","",IF(ABS(K85)&lt;=L85/2,"PASS",IF(ABS(K85)&lt;=L85,"MARGINAL","FAIL")))</f>
        <v>#DIV/0!</v>
      </c>
      <c r="N85" s="231"/>
      <c r="O85" s="4"/>
      <c r="T85" s="169"/>
    </row>
    <row r="86" spans="2:20" ht="15" x14ac:dyDescent="0.25">
      <c r="B86" s="227"/>
      <c r="C86" s="29">
        <v>10</v>
      </c>
      <c r="D86" s="34" t="e">
        <f>IF(H48="","",H48)</f>
        <v>#DIV/0!</v>
      </c>
      <c r="E86" s="100">
        <v>2.5</v>
      </c>
      <c r="F86" s="298" t="s">
        <v>804</v>
      </c>
      <c r="G86" s="298" t="s">
        <v>805</v>
      </c>
      <c r="H86" s="38" t="e">
        <f>IF(AND(F86="",G86=""),"",AVERAGE(F86:G86))</f>
        <v>#DIV/0!</v>
      </c>
      <c r="I86" s="44" t="e">
        <f>IF(OR(D86="",H86=""),"",D86/H86)</f>
        <v>#DIV/0!</v>
      </c>
      <c r="J86" s="44">
        <f>Data!H53</f>
        <v>0.84099999999999997</v>
      </c>
      <c r="K86" s="35" t="e">
        <f>IF(I86="","",100*(I86-J86)/J86)</f>
        <v>#DIV/0!</v>
      </c>
      <c r="L86" s="39">
        <v>2</v>
      </c>
      <c r="M86" s="36" t="e">
        <f>IF(K86="","",IF(ABS(K86)&lt;=L86/2,"PASS",IF(ABS(K86)&lt;=L86,"MARGINAL","FAIL")))</f>
        <v>#DIV/0!</v>
      </c>
      <c r="N86" s="231"/>
      <c r="O86" s="4"/>
      <c r="T86" s="169"/>
    </row>
    <row r="87" spans="2:20" ht="15" x14ac:dyDescent="0.25">
      <c r="B87" s="227"/>
      <c r="C87" s="53" t="s">
        <v>137</v>
      </c>
      <c r="D87" s="34" t="e">
        <f>IF(H49="","",H49)</f>
        <v>#DIV/0!</v>
      </c>
      <c r="E87" s="100">
        <v>2.5</v>
      </c>
      <c r="F87" s="298" t="s">
        <v>806</v>
      </c>
      <c r="G87" s="298" t="s">
        <v>807</v>
      </c>
      <c r="H87" s="38" t="e">
        <f>IF(AND(F87="",G87=""),"",AVERAGE(F87:G87))</f>
        <v>#DIV/0!</v>
      </c>
      <c r="I87" s="44" t="e">
        <f>IF(OR(D87="",H87=""),"",D87/H87)</f>
        <v>#DIV/0!</v>
      </c>
      <c r="J87" s="44">
        <f>Data!H54</f>
        <v>0.80800000000000005</v>
      </c>
      <c r="K87" s="35" t="e">
        <f>IF(I87="","",100*(I87-J87)/J87)</f>
        <v>#DIV/0!</v>
      </c>
      <c r="L87" s="39">
        <v>2</v>
      </c>
      <c r="M87" s="36" t="e">
        <f>IF(K87="","",IF(ABS(K87)&lt;=L87/2,"PASS",IF(ABS(K87)&lt;=L87,"MARGINAL","FAIL")))</f>
        <v>#DIV/0!</v>
      </c>
      <c r="N87" s="231"/>
      <c r="O87" s="4"/>
      <c r="T87" s="169"/>
    </row>
    <row r="88" spans="2:20" ht="15" x14ac:dyDescent="0.25">
      <c r="B88" s="227"/>
      <c r="C88" s="29">
        <v>15</v>
      </c>
      <c r="D88" s="34" t="e">
        <f>IF(H50="","",H50)</f>
        <v>#DIV/0!</v>
      </c>
      <c r="E88" s="100">
        <v>2.5</v>
      </c>
      <c r="F88" s="298" t="s">
        <v>808</v>
      </c>
      <c r="G88" s="298" t="s">
        <v>809</v>
      </c>
      <c r="H88" s="38" t="e">
        <f>IF(AND(F88="",G88=""),"",AVERAGE(F88:G88))</f>
        <v>#DIV/0!</v>
      </c>
      <c r="I88" s="44" t="e">
        <f>IF(OR(D88="",H88=""),"",D88/H88)</f>
        <v>#DIV/0!</v>
      </c>
      <c r="J88" s="44">
        <f>Data!H55</f>
        <v>0.879</v>
      </c>
      <c r="K88" s="35" t="e">
        <f>IF(I88="","",100*(I88-J88)/J88)</f>
        <v>#DIV/0!</v>
      </c>
      <c r="L88" s="39">
        <v>2</v>
      </c>
      <c r="M88" s="36" t="e">
        <f>IF(K88="","",IF(ABS(K88)&lt;=L88/2,"PASS",IF(ABS(K88)&lt;=L88,"MARGINAL","FAIL")))</f>
        <v>#DIV/0!</v>
      </c>
      <c r="N88" s="231"/>
      <c r="O88" s="4"/>
    </row>
    <row r="89" spans="2:20" x14ac:dyDescent="0.2">
      <c r="B89" s="227"/>
      <c r="C89" s="287"/>
      <c r="D89" s="287"/>
      <c r="E89" s="287"/>
      <c r="F89" s="287"/>
      <c r="G89" s="287"/>
      <c r="H89" s="7"/>
      <c r="I89" s="7"/>
      <c r="J89" s="7"/>
      <c r="K89" s="7"/>
      <c r="L89" s="7"/>
      <c r="M89" s="7"/>
      <c r="N89" s="228"/>
      <c r="O89" s="4"/>
    </row>
    <row r="90" spans="2:20" ht="15" x14ac:dyDescent="0.2">
      <c r="B90" s="227"/>
      <c r="C90" s="295" t="s">
        <v>385</v>
      </c>
      <c r="D90" s="287"/>
      <c r="E90" s="287"/>
      <c r="F90" s="296" t="s">
        <v>330</v>
      </c>
      <c r="H90" s="234" t="s">
        <v>359</v>
      </c>
      <c r="I90" s="7"/>
      <c r="J90" s="7"/>
      <c r="K90" s="7"/>
      <c r="L90" s="7"/>
      <c r="M90" s="7"/>
      <c r="N90" s="228"/>
      <c r="O90" s="4"/>
    </row>
    <row r="91" spans="2:20" x14ac:dyDescent="0.2">
      <c r="B91" s="227"/>
      <c r="C91" s="294" t="s">
        <v>810</v>
      </c>
      <c r="D91" s="294"/>
      <c r="E91" s="294"/>
      <c r="F91" s="294"/>
      <c r="G91" s="294"/>
      <c r="H91" s="79"/>
      <c r="I91" s="79"/>
      <c r="J91" s="79"/>
      <c r="K91" s="79"/>
      <c r="L91" s="79"/>
      <c r="M91" s="79"/>
      <c r="N91" s="235"/>
      <c r="O91" s="4"/>
    </row>
    <row r="92" spans="2:20" x14ac:dyDescent="0.2">
      <c r="B92" s="227"/>
      <c r="C92" s="294" t="s">
        <v>254</v>
      </c>
      <c r="D92" s="294"/>
      <c r="E92" s="294"/>
      <c r="F92" s="294"/>
      <c r="G92" s="294"/>
      <c r="H92" s="79"/>
      <c r="I92" s="79"/>
      <c r="J92" s="79"/>
      <c r="K92" s="79"/>
      <c r="L92" s="79"/>
      <c r="M92" s="79"/>
      <c r="N92" s="235"/>
      <c r="O92" s="4"/>
    </row>
    <row r="93" spans="2:20" x14ac:dyDescent="0.2">
      <c r="B93" s="227"/>
      <c r="C93" s="294" t="s">
        <v>811</v>
      </c>
      <c r="D93" s="294"/>
      <c r="E93" s="294"/>
      <c r="F93" s="294"/>
      <c r="G93" s="294"/>
      <c r="H93" s="79"/>
      <c r="I93" s="79"/>
      <c r="J93" s="79"/>
      <c r="K93" s="79"/>
      <c r="L93" s="79"/>
      <c r="M93" s="79"/>
      <c r="N93" s="235"/>
      <c r="O93" s="4"/>
    </row>
    <row r="94" spans="2:20" x14ac:dyDescent="0.2">
      <c r="B94" s="227"/>
      <c r="C94" s="294" t="s">
        <v>812</v>
      </c>
      <c r="D94" s="294"/>
      <c r="E94" s="294"/>
      <c r="F94" s="294"/>
      <c r="G94" s="294"/>
      <c r="H94" s="79"/>
      <c r="I94" s="79"/>
      <c r="J94" s="79"/>
      <c r="K94" s="79"/>
      <c r="L94" s="79"/>
      <c r="M94" s="79"/>
      <c r="N94" s="235"/>
      <c r="O94" s="4"/>
    </row>
    <row r="95" spans="2:20" x14ac:dyDescent="0.2">
      <c r="B95" s="227"/>
      <c r="C95" s="294"/>
      <c r="D95" s="294"/>
      <c r="E95" s="294"/>
      <c r="F95" s="294"/>
      <c r="G95" s="294"/>
      <c r="H95" s="79"/>
      <c r="I95" s="79"/>
      <c r="J95" s="79"/>
      <c r="K95" s="79"/>
      <c r="L95" s="79"/>
      <c r="M95" s="79"/>
      <c r="N95" s="235"/>
      <c r="O95" s="4"/>
    </row>
    <row r="96" spans="2:20" ht="14.25" x14ac:dyDescent="0.25">
      <c r="B96" s="227"/>
      <c r="C96" s="47" t="s">
        <v>209</v>
      </c>
      <c r="D96" s="47" t="s">
        <v>213</v>
      </c>
      <c r="E96" s="47" t="s">
        <v>216</v>
      </c>
      <c r="F96" s="47" t="s">
        <v>239</v>
      </c>
      <c r="G96" s="47" t="s">
        <v>253</v>
      </c>
      <c r="H96" s="47" t="s">
        <v>313</v>
      </c>
      <c r="I96" s="47" t="s">
        <v>66</v>
      </c>
      <c r="J96" s="47" t="s">
        <v>51</v>
      </c>
      <c r="K96" s="47" t="s">
        <v>44</v>
      </c>
      <c r="L96" s="125"/>
      <c r="M96" s="107"/>
      <c r="N96" s="236"/>
      <c r="O96" s="4"/>
    </row>
    <row r="97" spans="2:20" x14ac:dyDescent="0.2">
      <c r="B97" s="227"/>
      <c r="C97" s="124" t="s">
        <v>210</v>
      </c>
      <c r="D97" s="58"/>
      <c r="E97" s="58"/>
      <c r="F97" s="58"/>
      <c r="G97" s="58" t="s">
        <v>47</v>
      </c>
      <c r="H97" s="58" t="s">
        <v>47</v>
      </c>
      <c r="I97" s="58" t="s">
        <v>47</v>
      </c>
      <c r="J97" s="58" t="s">
        <v>50</v>
      </c>
      <c r="K97" s="58" t="s">
        <v>50</v>
      </c>
      <c r="L97" s="126"/>
      <c r="M97" s="83"/>
      <c r="N97" s="233"/>
      <c r="O97" s="4"/>
    </row>
    <row r="98" spans="2:20" x14ac:dyDescent="0.2">
      <c r="B98" s="227"/>
      <c r="C98" s="50" t="s">
        <v>229</v>
      </c>
      <c r="D98" s="50" t="s">
        <v>214</v>
      </c>
      <c r="E98" s="152" t="s">
        <v>215</v>
      </c>
      <c r="F98" s="152" t="s">
        <v>450</v>
      </c>
      <c r="G98" s="145" t="s">
        <v>813</v>
      </c>
      <c r="H98" s="23" t="e">
        <f>IF(OR($J$35="",$J$37="",G98=""),"",G98*$J$35*$J$37)</f>
        <v>#VALUE!</v>
      </c>
      <c r="I98" s="138">
        <f>Data!S52</f>
        <v>0.23</v>
      </c>
      <c r="J98" s="127" t="e">
        <f>IF(H98="","",100*ABS(H98-I98)/I98)</f>
        <v>#VALUE!</v>
      </c>
      <c r="K98" s="127">
        <v>5</v>
      </c>
      <c r="L98" s="36" t="e">
        <f>IF(J98="","",IF(ABS(J98)&lt;=K98/2,"PASS",IF(ABS(J98)&lt;=K98,"MARGINAL","FAIL")))</f>
        <v>#VALUE!</v>
      </c>
      <c r="M98" s="139"/>
      <c r="N98" s="237"/>
      <c r="O98" s="4"/>
    </row>
    <row r="99" spans="2:20" x14ac:dyDescent="0.2">
      <c r="B99" s="227"/>
      <c r="C99" s="50" t="s">
        <v>211</v>
      </c>
      <c r="D99" s="305" t="s">
        <v>214</v>
      </c>
      <c r="E99" s="152" t="s">
        <v>215</v>
      </c>
      <c r="F99" s="152" t="s">
        <v>451</v>
      </c>
      <c r="G99" s="145" t="s">
        <v>814</v>
      </c>
      <c r="H99" s="23" t="e">
        <f>IF(OR($J$35="",$J$37="",G99=""),"",G99*$J$35*$J$37)</f>
        <v>#VALUE!</v>
      </c>
      <c r="I99" s="138">
        <f>Data!S53</f>
        <v>1.06</v>
      </c>
      <c r="J99" s="127" t="e">
        <f>IF(H99="","",100*ABS(H99-I99)/I99)</f>
        <v>#VALUE!</v>
      </c>
      <c r="K99" s="127">
        <v>5</v>
      </c>
      <c r="L99" s="36" t="e">
        <f>IF(J99="","",IF(ABS(J99)&lt;=K99/2,"PASS",IF(ABS(J99)&lt;=K99,"MARGINAL","FAIL")))</f>
        <v>#VALUE!</v>
      </c>
      <c r="M99" s="139"/>
      <c r="N99" s="237"/>
      <c r="O99" s="4"/>
    </row>
    <row r="100" spans="2:20" x14ac:dyDescent="0.2">
      <c r="B100" s="227"/>
      <c r="C100" s="50" t="s">
        <v>212</v>
      </c>
      <c r="D100" s="305" t="s">
        <v>215</v>
      </c>
      <c r="E100" s="152" t="s">
        <v>214</v>
      </c>
      <c r="F100" s="152" t="s">
        <v>452</v>
      </c>
      <c r="G100" s="145" t="s">
        <v>815</v>
      </c>
      <c r="H100" s="23" t="e">
        <f>IF(OR($J$35="",$J$37="",G100=""),"",G100*$J$35*$J$37)</f>
        <v>#VALUE!</v>
      </c>
      <c r="I100" s="138">
        <f>Data!S54</f>
        <v>0.28000000000000003</v>
      </c>
      <c r="J100" s="127" t="e">
        <f>IF(H100="","",100*ABS(H100-I100)/I100)</f>
        <v>#VALUE!</v>
      </c>
      <c r="K100" s="127">
        <v>5</v>
      </c>
      <c r="L100" s="36" t="e">
        <f>IF(J100="","",IF(ABS(J100)&lt;=K100/2,"PASS",IF(ABS(J100)&lt;=K100,"MARGINAL","FAIL")))</f>
        <v>#VALUE!</v>
      </c>
      <c r="M100" s="139"/>
      <c r="N100" s="237"/>
      <c r="O100" s="4"/>
    </row>
    <row r="101" spans="2:20" x14ac:dyDescent="0.2">
      <c r="B101" s="230"/>
      <c r="C101" s="50" t="s">
        <v>449</v>
      </c>
      <c r="D101" s="305" t="s">
        <v>215</v>
      </c>
      <c r="E101" s="152" t="s">
        <v>214</v>
      </c>
      <c r="F101" s="152" t="s">
        <v>453</v>
      </c>
      <c r="G101" s="145" t="s">
        <v>816</v>
      </c>
      <c r="H101" s="23" t="e">
        <f>IF(OR($J$35="",$J$37="",G101=""),"",G101*$J$35*$J$37)</f>
        <v>#VALUE!</v>
      </c>
      <c r="I101" s="138">
        <f>Data!S55</f>
        <v>2.35</v>
      </c>
      <c r="J101" s="127" t="e">
        <f>IF(H101="","",100*ABS(H101-I101)/I101)</f>
        <v>#VALUE!</v>
      </c>
      <c r="K101" s="127">
        <v>5</v>
      </c>
      <c r="L101" s="36" t="e">
        <f>IF(J101="","",IF(ABS(J101)&lt;=K101/2,"PASS",IF(ABS(J101)&lt;=K101,"MARGINAL","FAIL")))</f>
        <v>#VALUE!</v>
      </c>
      <c r="M101" s="80"/>
      <c r="N101" s="228"/>
      <c r="O101" s="4"/>
    </row>
    <row r="102" spans="2:20" x14ac:dyDescent="0.2">
      <c r="B102" s="230"/>
      <c r="C102" s="306"/>
      <c r="D102" s="283"/>
      <c r="E102" s="290"/>
      <c r="F102" s="290"/>
      <c r="G102" s="290"/>
      <c r="H102" s="80"/>
      <c r="I102" s="80"/>
      <c r="J102" s="80"/>
      <c r="K102" s="80"/>
      <c r="L102" s="80"/>
      <c r="M102" s="80"/>
      <c r="N102" s="228"/>
      <c r="O102" s="4"/>
    </row>
    <row r="103" spans="2:20" ht="15.75" x14ac:dyDescent="0.25">
      <c r="B103" s="230"/>
      <c r="C103" s="113" t="s">
        <v>266</v>
      </c>
      <c r="D103" s="114"/>
      <c r="E103" s="114"/>
      <c r="F103" s="160" t="str">
        <f>IF(OR(H12="VICEDAR_TB4",H12="VISPRUCE_TB5",H12="VIOAK_TB6"),"(NOT APPLICABLE)","")</f>
        <v/>
      </c>
      <c r="G103" s="114"/>
      <c r="H103" s="114"/>
      <c r="I103" s="114"/>
      <c r="J103" s="197" t="s">
        <v>472</v>
      </c>
      <c r="K103" s="349"/>
      <c r="L103" s="350"/>
      <c r="M103" s="114"/>
      <c r="N103" s="228"/>
      <c r="O103" s="4"/>
    </row>
    <row r="104" spans="2:20" x14ac:dyDescent="0.2">
      <c r="B104" s="227"/>
      <c r="C104" s="287"/>
      <c r="D104" s="287"/>
      <c r="E104" s="287"/>
      <c r="F104" s="287"/>
      <c r="G104" s="287"/>
      <c r="H104" s="7"/>
      <c r="I104" s="7"/>
      <c r="J104" s="7"/>
      <c r="K104" s="7"/>
      <c r="L104" s="7"/>
      <c r="M104" s="7"/>
      <c r="N104" s="228"/>
      <c r="O104" s="4"/>
    </row>
    <row r="105" spans="2:20" ht="18.75" x14ac:dyDescent="0.35">
      <c r="B105" s="227"/>
      <c r="C105" s="288" t="s">
        <v>764</v>
      </c>
      <c r="D105" s="112" t="s">
        <v>834</v>
      </c>
      <c r="E105" s="287"/>
      <c r="F105" s="288" t="s">
        <v>765</v>
      </c>
      <c r="G105" s="112" t="s">
        <v>835</v>
      </c>
      <c r="H105" s="1"/>
      <c r="I105" s="22" t="s">
        <v>262</v>
      </c>
      <c r="J105" s="307" t="s">
        <v>838</v>
      </c>
      <c r="K105" s="80"/>
      <c r="L105" s="80"/>
      <c r="M105" s="80"/>
      <c r="N105" s="228"/>
      <c r="O105" s="4"/>
      <c r="T105" s="5"/>
    </row>
    <row r="106" spans="2:20" x14ac:dyDescent="0.2">
      <c r="B106" s="227"/>
      <c r="C106" s="287"/>
      <c r="D106" s="287"/>
      <c r="E106" s="287"/>
      <c r="F106" s="287"/>
      <c r="G106" s="287"/>
      <c r="H106" s="7"/>
      <c r="I106" s="7"/>
      <c r="J106" s="7"/>
      <c r="K106" s="80"/>
      <c r="L106" s="80"/>
      <c r="M106" s="80"/>
      <c r="N106" s="228"/>
      <c r="O106" s="4"/>
      <c r="R106" s="2"/>
    </row>
    <row r="107" spans="2:20" ht="14.25" x14ac:dyDescent="0.25">
      <c r="B107" s="227"/>
      <c r="C107" s="291" t="s">
        <v>123</v>
      </c>
      <c r="D107" s="133" t="s">
        <v>840</v>
      </c>
      <c r="E107" s="290"/>
      <c r="F107" s="291" t="s">
        <v>28</v>
      </c>
      <c r="G107" s="292" t="s">
        <v>841</v>
      </c>
      <c r="H107" s="7"/>
      <c r="I107" s="185" t="s">
        <v>479</v>
      </c>
      <c r="J107" s="289" t="s">
        <v>839</v>
      </c>
      <c r="K107" s="80"/>
      <c r="L107" s="80"/>
      <c r="M107" s="80"/>
      <c r="N107" s="228"/>
      <c r="O107" s="4"/>
    </row>
    <row r="108" spans="2:20" x14ac:dyDescent="0.2">
      <c r="B108" s="227"/>
      <c r="C108" s="287"/>
      <c r="D108" s="294" t="s">
        <v>64</v>
      </c>
      <c r="E108" s="290"/>
      <c r="F108" s="287" t="s">
        <v>37</v>
      </c>
      <c r="G108" s="287"/>
      <c r="H108" s="7"/>
      <c r="I108" s="1"/>
      <c r="J108" s="80"/>
      <c r="K108" s="7"/>
      <c r="L108" s="7"/>
      <c r="M108" s="7"/>
      <c r="N108" s="228"/>
      <c r="O108" s="4"/>
    </row>
    <row r="109" spans="2:20" x14ac:dyDescent="0.2">
      <c r="B109" s="227"/>
      <c r="C109" s="287"/>
      <c r="D109" s="287"/>
      <c r="E109" s="287"/>
      <c r="F109" s="287"/>
      <c r="G109" s="287"/>
      <c r="H109" s="7"/>
      <c r="I109" s="7"/>
      <c r="J109" s="7"/>
      <c r="K109" s="7"/>
      <c r="L109" s="7"/>
      <c r="M109" s="7"/>
      <c r="N109" s="228"/>
      <c r="O109" s="4"/>
    </row>
    <row r="110" spans="2:20" x14ac:dyDescent="0.2">
      <c r="B110" s="227"/>
      <c r="C110" s="294" t="s">
        <v>817</v>
      </c>
      <c r="D110" s="287"/>
      <c r="E110" s="287"/>
      <c r="F110" s="287"/>
      <c r="G110" s="287"/>
      <c r="H110" s="7"/>
      <c r="I110" s="7"/>
      <c r="J110" s="7"/>
      <c r="K110" s="7"/>
      <c r="L110" s="7"/>
      <c r="M110" s="7"/>
      <c r="N110" s="228"/>
      <c r="O110" s="4"/>
    </row>
    <row r="111" spans="2:20" x14ac:dyDescent="0.2">
      <c r="B111" s="227"/>
      <c r="C111" s="294" t="s">
        <v>768</v>
      </c>
      <c r="D111" s="287"/>
      <c r="E111" s="287"/>
      <c r="F111" s="287"/>
      <c r="G111" s="287"/>
      <c r="H111" s="7"/>
      <c r="I111" s="7"/>
      <c r="J111" s="7"/>
      <c r="K111" s="7"/>
      <c r="L111" s="7"/>
      <c r="M111" s="7"/>
      <c r="N111" s="228"/>
      <c r="O111" s="4"/>
      <c r="Q111" s="272"/>
    </row>
    <row r="112" spans="2:20" x14ac:dyDescent="0.2">
      <c r="B112" s="227"/>
      <c r="C112" s="294"/>
      <c r="D112" s="287"/>
      <c r="E112" s="287"/>
      <c r="F112" s="287"/>
      <c r="G112" s="287"/>
      <c r="H112" s="7"/>
      <c r="I112" s="7"/>
      <c r="J112" s="7"/>
      <c r="K112" s="7"/>
      <c r="L112" s="7"/>
      <c r="M112" s="7"/>
      <c r="N112" s="228"/>
      <c r="O112" s="4"/>
    </row>
    <row r="113" spans="2:16" x14ac:dyDescent="0.2">
      <c r="B113" s="227"/>
      <c r="C113" s="295" t="s">
        <v>818</v>
      </c>
      <c r="D113" s="287"/>
      <c r="E113" s="287"/>
      <c r="F113" s="296" t="s">
        <v>332</v>
      </c>
      <c r="H113" s="7"/>
      <c r="I113" s="7"/>
      <c r="J113" s="7"/>
      <c r="K113" s="7"/>
      <c r="L113" s="7"/>
      <c r="M113" s="7"/>
      <c r="N113" s="228"/>
      <c r="P113" s="95"/>
    </row>
    <row r="114" spans="2:16" x14ac:dyDescent="0.2">
      <c r="B114" s="227"/>
      <c r="C114" s="47" t="s">
        <v>38</v>
      </c>
      <c r="D114" s="47" t="s">
        <v>43</v>
      </c>
      <c r="E114" s="47" t="s">
        <v>39</v>
      </c>
      <c r="F114" s="47" t="s">
        <v>40</v>
      </c>
      <c r="G114" s="47" t="s">
        <v>41</v>
      </c>
      <c r="H114" s="26" t="s">
        <v>42</v>
      </c>
      <c r="I114" s="26" t="s">
        <v>49</v>
      </c>
      <c r="J114" s="26" t="s">
        <v>66</v>
      </c>
      <c r="K114" s="26" t="s">
        <v>51</v>
      </c>
      <c r="L114" s="27" t="s">
        <v>44</v>
      </c>
      <c r="M114" s="28"/>
      <c r="N114" s="228"/>
      <c r="P114" s="95" t="s">
        <v>156</v>
      </c>
    </row>
    <row r="115" spans="2:16" x14ac:dyDescent="0.2">
      <c r="B115" s="238" t="s">
        <v>157</v>
      </c>
      <c r="C115" s="29" t="s">
        <v>65</v>
      </c>
      <c r="D115" s="29" t="s">
        <v>46</v>
      </c>
      <c r="E115" s="29"/>
      <c r="F115" s="29"/>
      <c r="G115" s="29"/>
      <c r="H115" s="29" t="s">
        <v>47</v>
      </c>
      <c r="I115" s="29" t="s">
        <v>48</v>
      </c>
      <c r="J115" s="29" t="s">
        <v>48</v>
      </c>
      <c r="K115" s="29" t="s">
        <v>50</v>
      </c>
      <c r="L115" s="29" t="s">
        <v>50</v>
      </c>
      <c r="M115" s="30"/>
      <c r="N115" s="228"/>
      <c r="P115" s="96" t="s">
        <v>164</v>
      </c>
    </row>
    <row r="116" spans="2:16" x14ac:dyDescent="0.2">
      <c r="B116" s="264">
        <v>1.5</v>
      </c>
      <c r="C116" s="50" t="s">
        <v>175</v>
      </c>
      <c r="D116" s="35" t="str">
        <f>IF(H$12="","",VLOOKUP(H$12,[1]Data!$AA$32:$AG$34,3,FALSE))</f>
        <v/>
      </c>
      <c r="E116" s="145" t="s">
        <v>819</v>
      </c>
      <c r="F116" s="145" t="s">
        <v>820</v>
      </c>
      <c r="G116" s="145" t="s">
        <v>821</v>
      </c>
      <c r="H116" s="44" t="e">
        <f>IF(OR(E116&lt;&gt;"",F116&lt;&gt;"",G116&lt;&gt;""),AVERAGE(E116:G116),"")</f>
        <v>#DIV/0!</v>
      </c>
      <c r="I116" s="35" t="e">
        <f>IF(OR(H116="",D116="",$J$105="",$J$107=""),"",H116*D116*$J$105*$J$107)</f>
        <v>#DIV/0!</v>
      </c>
      <c r="J116" s="35">
        <f>IF(C116="","",100)</f>
        <v>100</v>
      </c>
      <c r="K116" s="35" t="e">
        <f>IF(I116&lt;&gt;"",I116-J116,"")</f>
        <v>#DIV/0!</v>
      </c>
      <c r="L116" s="35">
        <f>IF(C116="","",2)</f>
        <v>2</v>
      </c>
      <c r="M116" s="36" t="e">
        <f>IF(K116="","",IF(ABS(K116)&lt;=L116/2,"PASS",IF(ABS(K116)&lt;=L116,"MARGINAL","FAIL")))</f>
        <v>#DIV/0!</v>
      </c>
      <c r="N116" s="231"/>
      <c r="P116" s="96" t="s">
        <v>159</v>
      </c>
    </row>
    <row r="117" spans="2:16" x14ac:dyDescent="0.2">
      <c r="B117" s="264">
        <v>2.5</v>
      </c>
      <c r="C117" s="50" t="s">
        <v>176</v>
      </c>
      <c r="D117" s="35" t="str">
        <f>IF(H$12="","",VLOOKUP(H$12,[1]Data!$AA$32:$AG$34,4,FALSE))</f>
        <v/>
      </c>
      <c r="E117" s="299" t="s">
        <v>822</v>
      </c>
      <c r="F117" s="299" t="s">
        <v>823</v>
      </c>
      <c r="G117" s="299" t="s">
        <v>824</v>
      </c>
      <c r="H117" s="44" t="e">
        <f>IF(OR(E117&lt;&gt;"",F117&lt;&gt;"",G117&lt;&gt;""),AVERAGE(E117:G117),"")</f>
        <v>#DIV/0!</v>
      </c>
      <c r="I117" s="35" t="e">
        <f>IF(OR(H117="",D117="",$J$105="",$J$107=""),"",H117*D117*$J$105*$J$107)</f>
        <v>#DIV/0!</v>
      </c>
      <c r="J117" s="39">
        <f>IF(C117="","",100)</f>
        <v>100</v>
      </c>
      <c r="K117" s="39" t="e">
        <f>IF(I117&lt;&gt;"",I117-J117,"")</f>
        <v>#DIV/0!</v>
      </c>
      <c r="L117" s="39">
        <f>IF(C117="","",2)</f>
        <v>2</v>
      </c>
      <c r="M117" s="36" t="e">
        <f>IF(K117="","",IF(ABS(K117)&lt;=L117/2,"PASS",IF(ABS(K117)&lt;=L117,"MARGINAL","FAIL")))</f>
        <v>#DIV/0!</v>
      </c>
      <c r="N117" s="231"/>
      <c r="P117" s="96" t="s">
        <v>160</v>
      </c>
    </row>
    <row r="118" spans="2:16" x14ac:dyDescent="0.2">
      <c r="B118" s="264">
        <v>2.5</v>
      </c>
      <c r="C118" s="50" t="s">
        <v>177</v>
      </c>
      <c r="D118" s="35" t="str">
        <f>IF(H$12="","",VLOOKUP(H$12,[1]Data!$AA$32:$AG$34,5,FALSE))</f>
        <v/>
      </c>
      <c r="E118" s="145" t="s">
        <v>825</v>
      </c>
      <c r="F118" s="145" t="s">
        <v>826</v>
      </c>
      <c r="G118" s="145" t="s">
        <v>827</v>
      </c>
      <c r="H118" s="44" t="e">
        <f>IF(OR(E118&lt;&gt;"",F118&lt;&gt;"",G118&lt;&gt;""),AVERAGE(E118:G118),"")</f>
        <v>#DIV/0!</v>
      </c>
      <c r="I118" s="35" t="e">
        <f>IF(OR(H118="",D118="",$J$105="",$J$107=""),"",H118*D118*$J$105*$J$107)</f>
        <v>#DIV/0!</v>
      </c>
      <c r="J118" s="35">
        <f>IF(C118="","",100)</f>
        <v>100</v>
      </c>
      <c r="K118" s="35" t="e">
        <f>IF(I118&lt;&gt;"",I118-J118,"")</f>
        <v>#DIV/0!</v>
      </c>
      <c r="L118" s="35">
        <f>IF(C118="","",2)</f>
        <v>2</v>
      </c>
      <c r="M118" s="36" t="e">
        <f>IF(K118="","",IF(ABS(K118)&lt;=L118/2,"PASS",IF(ABS(K118)&lt;=L118,"MARGINAL","FAIL")))</f>
        <v>#DIV/0!</v>
      </c>
      <c r="N118" s="231"/>
      <c r="P118" s="96" t="s">
        <v>161</v>
      </c>
    </row>
    <row r="119" spans="2:16" x14ac:dyDescent="0.2">
      <c r="B119" s="264">
        <v>2.5</v>
      </c>
      <c r="C119" s="50" t="s">
        <v>178</v>
      </c>
      <c r="D119" s="35" t="str">
        <f>IF(H$12="","",VLOOKUP(H$12,[1]Data!$AA$32:$AG$34,6,FALSE))</f>
        <v/>
      </c>
      <c r="E119" s="145" t="s">
        <v>828</v>
      </c>
      <c r="F119" s="145" t="s">
        <v>829</v>
      </c>
      <c r="G119" s="145" t="s">
        <v>830</v>
      </c>
      <c r="H119" s="44" t="e">
        <f>IF(OR(E119&lt;&gt;"",F119&lt;&gt;"",G119&lt;&gt;""),AVERAGE(E119:G119),"")</f>
        <v>#DIV/0!</v>
      </c>
      <c r="I119" s="35" t="e">
        <f>IF(OR(H119="",D119="",$J$105="",$J$107=""),"",H119*D119*$J$105*$J$107)</f>
        <v>#DIV/0!</v>
      </c>
      <c r="J119" s="35">
        <f>IF(C119="","",100)</f>
        <v>100</v>
      </c>
      <c r="K119" s="35" t="e">
        <f>IF(I119&lt;&gt;"",I119-J119,"")</f>
        <v>#DIV/0!</v>
      </c>
      <c r="L119" s="35">
        <f>IF(C119="","",2)</f>
        <v>2</v>
      </c>
      <c r="M119" s="36" t="e">
        <f>IF(K119="","",IF(ABS(K119)&lt;=L119/2,"PASS",IF(ABS(K119)&lt;=L119,"MARGINAL","FAIL")))</f>
        <v>#DIV/0!</v>
      </c>
      <c r="N119" s="231"/>
      <c r="P119" s="96" t="s">
        <v>162</v>
      </c>
    </row>
    <row r="120" spans="2:16" x14ac:dyDescent="0.2">
      <c r="B120" s="264">
        <v>2.5</v>
      </c>
      <c r="C120" s="50" t="s">
        <v>179</v>
      </c>
      <c r="D120" s="35" t="str">
        <f>IF(H$12="","",VLOOKUP(H$12,[1]Data!$AA$32:$AG$34,7,FALSE))</f>
        <v/>
      </c>
      <c r="E120" s="145" t="s">
        <v>831</v>
      </c>
      <c r="F120" s="145" t="s">
        <v>832</v>
      </c>
      <c r="G120" s="145" t="s">
        <v>833</v>
      </c>
      <c r="H120" s="44" t="e">
        <f>IF(OR(E120&lt;&gt;"",F120&lt;&gt;"",G120&lt;&gt;""),AVERAGE(E120:G120),"")</f>
        <v>#DIV/0!</v>
      </c>
      <c r="I120" s="35" t="e">
        <f>IF(OR(H120="",D120="",$J$105="",$J$107=""),"",H120*D120*$J$105*$J$107)</f>
        <v>#DIV/0!</v>
      </c>
      <c r="J120" s="35">
        <f>IF(C120="","",100)</f>
        <v>100</v>
      </c>
      <c r="K120" s="35" t="e">
        <f>IF(I120&lt;&gt;"",I120-J120,"")</f>
        <v>#DIV/0!</v>
      </c>
      <c r="L120" s="35">
        <f>IF(C120="","",2)</f>
        <v>2</v>
      </c>
      <c r="M120" s="36" t="e">
        <f>IF(K120="","",IF(ABS(K120)&lt;=L120/2,"PASS",IF(ABS(K120)&lt;=L120,"MARGINAL","FAIL")))</f>
        <v>#DIV/0!</v>
      </c>
      <c r="N120" s="231"/>
      <c r="P120" s="96" t="s">
        <v>163</v>
      </c>
    </row>
    <row r="121" spans="2:16" x14ac:dyDescent="0.2">
      <c r="B121" s="227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228"/>
    </row>
    <row r="122" spans="2:16" ht="15.75" x14ac:dyDescent="0.25">
      <c r="B122" s="230"/>
      <c r="C122" s="113" t="s">
        <v>393</v>
      </c>
      <c r="D122" s="115"/>
      <c r="E122" s="115"/>
      <c r="F122" s="115"/>
      <c r="G122" s="115"/>
      <c r="H122" s="115"/>
      <c r="I122" s="115"/>
      <c r="J122" s="197" t="s">
        <v>472</v>
      </c>
      <c r="K122" s="329"/>
      <c r="L122" s="329"/>
      <c r="M122" s="115"/>
      <c r="N122" s="239"/>
    </row>
    <row r="123" spans="2:16" x14ac:dyDescent="0.2">
      <c r="B123" s="227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228"/>
    </row>
    <row r="124" spans="2:16" x14ac:dyDescent="0.2">
      <c r="B124" s="227"/>
      <c r="C124" s="108" t="s">
        <v>394</v>
      </c>
      <c r="D124" s="7"/>
      <c r="E124" s="7"/>
      <c r="F124" s="7"/>
      <c r="G124" s="161" t="str">
        <f>IF(H12="VIOAK_TB6","7A_LITERADHD.dcm","7A_LITERAD.dcm")</f>
        <v>7A_LITERAD.dcm</v>
      </c>
      <c r="H124" s="7"/>
      <c r="I124" s="7"/>
      <c r="J124" s="7"/>
      <c r="K124" s="7"/>
      <c r="L124" s="7"/>
      <c r="M124" s="7"/>
      <c r="N124" s="228"/>
    </row>
    <row r="125" spans="2:16" x14ac:dyDescent="0.2">
      <c r="B125" s="227"/>
      <c r="C125" s="79" t="s">
        <v>458</v>
      </c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228"/>
      <c r="P125" s="94"/>
    </row>
    <row r="126" spans="2:16" x14ac:dyDescent="0.2">
      <c r="B126" s="227"/>
      <c r="C126" s="79" t="s">
        <v>460</v>
      </c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228"/>
      <c r="P126" s="95"/>
    </row>
    <row r="127" spans="2:16" x14ac:dyDescent="0.2">
      <c r="B127" s="227"/>
      <c r="C127" s="79" t="s">
        <v>459</v>
      </c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228"/>
    </row>
    <row r="128" spans="2:16" x14ac:dyDescent="0.2">
      <c r="B128" s="227"/>
      <c r="C128" s="7"/>
      <c r="D128" s="7"/>
      <c r="E128" s="7"/>
      <c r="F128" s="7"/>
      <c r="G128" s="7"/>
      <c r="H128" s="7"/>
      <c r="I128" s="7"/>
      <c r="J128" s="7"/>
      <c r="K128" s="57"/>
      <c r="L128" s="7"/>
      <c r="M128" s="7"/>
      <c r="N128" s="228"/>
    </row>
    <row r="129" spans="2:14" x14ac:dyDescent="0.2">
      <c r="B129" s="227"/>
      <c r="C129" s="26" t="s">
        <v>38</v>
      </c>
      <c r="D129" s="26"/>
      <c r="E129" s="26" t="s">
        <v>103</v>
      </c>
      <c r="F129" s="26" t="s">
        <v>104</v>
      </c>
      <c r="G129" s="26" t="s">
        <v>105</v>
      </c>
      <c r="H129" s="26" t="s">
        <v>71</v>
      </c>
      <c r="I129" s="26" t="s">
        <v>44</v>
      </c>
      <c r="J129" s="7"/>
      <c r="K129" s="7"/>
      <c r="L129" s="7"/>
      <c r="M129" s="7"/>
      <c r="N129" s="228"/>
    </row>
    <row r="130" spans="2:14" x14ac:dyDescent="0.2">
      <c r="B130" s="227"/>
      <c r="C130" s="29" t="s">
        <v>45</v>
      </c>
      <c r="D130" s="29"/>
      <c r="E130" s="29"/>
      <c r="F130" s="29"/>
      <c r="G130" s="29"/>
      <c r="H130" s="29"/>
      <c r="I130" s="29" t="s">
        <v>72</v>
      </c>
      <c r="J130" s="7"/>
      <c r="K130" s="7"/>
      <c r="L130" s="7"/>
      <c r="M130" s="7"/>
      <c r="N130" s="228"/>
    </row>
    <row r="131" spans="2:14" x14ac:dyDescent="0.2">
      <c r="B131" s="227"/>
      <c r="C131" s="97" t="s">
        <v>166</v>
      </c>
      <c r="D131" s="31" t="s">
        <v>169</v>
      </c>
      <c r="E131" s="59"/>
      <c r="F131" s="59"/>
      <c r="G131" s="59"/>
      <c r="H131" s="59"/>
      <c r="I131" s="35">
        <f t="shared" ref="I131:I137" si="0">IF(C131&lt;&gt;"",2,"")</f>
        <v>2</v>
      </c>
      <c r="J131" s="36" t="str">
        <f t="shared" ref="J131:J137" si="1">IF(OR(C131="",E131="",F131="",G131="",H131=""),"",IF(AND(ABS(E131)&lt;=I131,ABS(F131)&lt;=I131,ABS(G131)&lt;=I131,ABS(H131)&lt;=I131),"PASS","FAIL"))</f>
        <v/>
      </c>
      <c r="K131" s="90" t="s">
        <v>168</v>
      </c>
      <c r="L131" s="80"/>
      <c r="M131" s="7"/>
      <c r="N131" s="228"/>
    </row>
    <row r="132" spans="2:14" x14ac:dyDescent="0.2">
      <c r="B132" s="227"/>
      <c r="C132" s="43">
        <v>6</v>
      </c>
      <c r="D132" s="43" t="s">
        <v>165</v>
      </c>
      <c r="E132" s="59"/>
      <c r="F132" s="59"/>
      <c r="G132" s="59"/>
      <c r="H132" s="59"/>
      <c r="I132" s="35">
        <f t="shared" si="0"/>
        <v>2</v>
      </c>
      <c r="J132" s="36" t="str">
        <f t="shared" si="1"/>
        <v/>
      </c>
      <c r="K132" s="90" t="s">
        <v>170</v>
      </c>
      <c r="L132" s="1"/>
      <c r="M132" s="7"/>
      <c r="N132" s="228"/>
    </row>
    <row r="133" spans="2:14" x14ac:dyDescent="0.2">
      <c r="B133" s="227"/>
      <c r="C133" s="43">
        <v>10</v>
      </c>
      <c r="D133" s="43" t="s">
        <v>165</v>
      </c>
      <c r="E133" s="59"/>
      <c r="F133" s="59"/>
      <c r="G133" s="59"/>
      <c r="H133" s="59"/>
      <c r="I133" s="35">
        <f t="shared" si="0"/>
        <v>2</v>
      </c>
      <c r="J133" s="36" t="str">
        <f t="shared" si="1"/>
        <v/>
      </c>
      <c r="K133" s="90" t="s">
        <v>170</v>
      </c>
      <c r="L133" s="7"/>
      <c r="M133" s="7"/>
      <c r="N133" s="228"/>
    </row>
    <row r="134" spans="2:14" x14ac:dyDescent="0.2">
      <c r="B134" s="227"/>
      <c r="C134" s="43">
        <v>15</v>
      </c>
      <c r="D134" s="43" t="s">
        <v>165</v>
      </c>
      <c r="E134" s="59"/>
      <c r="F134" s="59"/>
      <c r="G134" s="59"/>
      <c r="H134" s="59"/>
      <c r="I134" s="35">
        <f t="shared" si="0"/>
        <v>2</v>
      </c>
      <c r="J134" s="36" t="str">
        <f t="shared" si="1"/>
        <v/>
      </c>
      <c r="K134" s="90" t="s">
        <v>170</v>
      </c>
      <c r="L134" s="7"/>
      <c r="M134" s="7"/>
      <c r="N134" s="228"/>
    </row>
    <row r="135" spans="2:14" x14ac:dyDescent="0.2">
      <c r="B135" s="227"/>
      <c r="C135" s="43">
        <v>6</v>
      </c>
      <c r="D135" s="43" t="s">
        <v>167</v>
      </c>
      <c r="E135" s="110"/>
      <c r="F135" s="110"/>
      <c r="G135" s="110"/>
      <c r="H135" s="110"/>
      <c r="I135" s="35">
        <f t="shared" si="0"/>
        <v>2</v>
      </c>
      <c r="J135" s="36" t="str">
        <f t="shared" si="1"/>
        <v/>
      </c>
      <c r="K135" s="90" t="s">
        <v>171</v>
      </c>
      <c r="L135" s="1"/>
      <c r="M135" s="7"/>
      <c r="N135" s="228"/>
    </row>
    <row r="136" spans="2:14" x14ac:dyDescent="0.2">
      <c r="B136" s="227"/>
      <c r="C136" s="43">
        <v>10</v>
      </c>
      <c r="D136" s="43" t="s">
        <v>167</v>
      </c>
      <c r="E136" s="110"/>
      <c r="F136" s="110"/>
      <c r="G136" s="110"/>
      <c r="H136" s="110"/>
      <c r="I136" s="35">
        <f t="shared" si="0"/>
        <v>2</v>
      </c>
      <c r="J136" s="36" t="str">
        <f t="shared" si="1"/>
        <v/>
      </c>
      <c r="K136" s="90" t="s">
        <v>171</v>
      </c>
      <c r="L136" s="7"/>
      <c r="M136" s="7"/>
      <c r="N136" s="228"/>
    </row>
    <row r="137" spans="2:14" x14ac:dyDescent="0.2">
      <c r="B137" s="227"/>
      <c r="C137" s="43">
        <v>15</v>
      </c>
      <c r="D137" s="43" t="s">
        <v>167</v>
      </c>
      <c r="E137" s="110"/>
      <c r="F137" s="110"/>
      <c r="G137" s="110"/>
      <c r="H137" s="110"/>
      <c r="I137" s="35">
        <f t="shared" si="0"/>
        <v>2</v>
      </c>
      <c r="J137" s="36" t="str">
        <f t="shared" si="1"/>
        <v/>
      </c>
      <c r="K137" s="90" t="s">
        <v>171</v>
      </c>
      <c r="L137" s="7"/>
      <c r="M137" s="7"/>
      <c r="N137" s="228"/>
    </row>
    <row r="138" spans="2:14" x14ac:dyDescent="0.2">
      <c r="B138" s="227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228"/>
    </row>
    <row r="139" spans="2:14" x14ac:dyDescent="0.2">
      <c r="B139" s="227"/>
      <c r="C139" s="108" t="s">
        <v>395</v>
      </c>
      <c r="D139" s="7"/>
      <c r="E139" s="7"/>
      <c r="F139" s="7"/>
      <c r="G139" s="161" t="str">
        <f>IF(H12="VIOAK_TB6","7A_LITERADHD.dcm","7A_LITERAD.dcm")</f>
        <v>7A_LITERAD.dcm</v>
      </c>
      <c r="H139" s="7"/>
      <c r="I139" s="7"/>
      <c r="J139" s="7"/>
      <c r="K139" s="7"/>
      <c r="L139" s="7"/>
      <c r="M139" s="7"/>
      <c r="N139" s="228"/>
    </row>
    <row r="140" spans="2:14" x14ac:dyDescent="0.2">
      <c r="B140" s="227"/>
      <c r="C140" s="79" t="s">
        <v>384</v>
      </c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228"/>
    </row>
    <row r="141" spans="2:14" x14ac:dyDescent="0.2">
      <c r="B141" s="227"/>
      <c r="C141" s="79" t="s">
        <v>173</v>
      </c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228"/>
    </row>
    <row r="142" spans="2:14" x14ac:dyDescent="0.2">
      <c r="B142" s="227"/>
      <c r="C142" s="7"/>
      <c r="D142" s="7"/>
      <c r="E142" s="7"/>
      <c r="F142" s="7"/>
      <c r="G142" s="7"/>
      <c r="H142" s="7"/>
      <c r="I142" s="7"/>
      <c r="J142" s="7"/>
      <c r="K142" s="57"/>
      <c r="L142" s="7"/>
      <c r="M142" s="7"/>
      <c r="N142" s="228"/>
    </row>
    <row r="143" spans="2:14" x14ac:dyDescent="0.2">
      <c r="B143" s="227"/>
      <c r="C143" s="26" t="s">
        <v>38</v>
      </c>
      <c r="D143" s="26"/>
      <c r="E143" s="26" t="s">
        <v>103</v>
      </c>
      <c r="F143" s="26" t="s">
        <v>104</v>
      </c>
      <c r="G143" s="26" t="s">
        <v>105</v>
      </c>
      <c r="H143" s="26" t="s">
        <v>71</v>
      </c>
      <c r="I143" s="26" t="s">
        <v>44</v>
      </c>
      <c r="J143" s="7"/>
      <c r="K143" s="80"/>
      <c r="L143" s="80"/>
      <c r="M143" s="80"/>
      <c r="N143" s="228"/>
    </row>
    <row r="144" spans="2:14" x14ac:dyDescent="0.2">
      <c r="B144" s="227"/>
      <c r="C144" s="29" t="s">
        <v>45</v>
      </c>
      <c r="D144" s="29"/>
      <c r="E144" s="29"/>
      <c r="F144" s="29"/>
      <c r="G144" s="29"/>
      <c r="H144" s="29"/>
      <c r="I144" s="29" t="s">
        <v>72</v>
      </c>
      <c r="J144" s="7"/>
      <c r="K144" s="80"/>
      <c r="L144" s="80"/>
      <c r="M144" s="80"/>
      <c r="N144" s="228"/>
    </row>
    <row r="145" spans="2:17" x14ac:dyDescent="0.2">
      <c r="B145" s="227"/>
      <c r="C145" s="97" t="s">
        <v>166</v>
      </c>
      <c r="D145" s="31" t="s">
        <v>169</v>
      </c>
      <c r="E145" s="59"/>
      <c r="F145" s="59"/>
      <c r="G145" s="59"/>
      <c r="H145" s="59"/>
      <c r="I145" s="35">
        <v>1</v>
      </c>
      <c r="J145" s="36" t="str">
        <f>IF(OR(C145="",E145="",F145="",G145="",H145=""),"",IF(AND(ABS(E145)&lt;=I145,ABS(F145)&lt;=I145,ABS(G145)&lt;=I145,ABS(H145)&lt;=I145),"PASS","FAIL"))</f>
        <v/>
      </c>
      <c r="K145" s="219" t="s">
        <v>168</v>
      </c>
      <c r="L145" s="80"/>
      <c r="M145" s="80"/>
      <c r="N145" s="228"/>
    </row>
    <row r="146" spans="2:17" x14ac:dyDescent="0.2">
      <c r="B146" s="227"/>
      <c r="C146" s="43">
        <v>6</v>
      </c>
      <c r="D146" s="43" t="s">
        <v>165</v>
      </c>
      <c r="E146" s="59"/>
      <c r="F146" s="59"/>
      <c r="G146" s="59"/>
      <c r="H146" s="59"/>
      <c r="I146" s="35">
        <f>IF(C146&lt;&gt;"",2,"")</f>
        <v>2</v>
      </c>
      <c r="J146" s="36" t="str">
        <f>IF(OR(C146="",E146="",F146="",G146="",H146=""),"",IF(AND(ABS(E146)&lt;=I146,ABS(F146)&lt;=I146,ABS(G146)&lt;=I146,ABS(H146)&lt;=I146),"PASS","FAIL"))</f>
        <v/>
      </c>
      <c r="K146" s="219" t="s">
        <v>170</v>
      </c>
      <c r="L146" s="80"/>
      <c r="M146" s="80"/>
      <c r="N146" s="228"/>
    </row>
    <row r="147" spans="2:17" x14ac:dyDescent="0.2">
      <c r="B147" s="227"/>
      <c r="C147" s="43">
        <v>6</v>
      </c>
      <c r="D147" s="43" t="s">
        <v>167</v>
      </c>
      <c r="E147" s="110"/>
      <c r="F147" s="110"/>
      <c r="G147" s="110"/>
      <c r="H147" s="110"/>
      <c r="I147" s="35">
        <f>IF(C147&lt;&gt;"",2,"")</f>
        <v>2</v>
      </c>
      <c r="J147" s="36" t="str">
        <f>IF(OR(C147="",E147="",F147="",G147="",H147=""),"",IF(AND(ABS(E147)&lt;=I147,ABS(F147)&lt;=I147,ABS(G147)&lt;=I147,ABS(H147)&lt;=I147),"PASS","FAIL"))</f>
        <v/>
      </c>
      <c r="K147" s="219" t="s">
        <v>171</v>
      </c>
      <c r="L147" s="80"/>
      <c r="M147" s="80"/>
      <c r="N147" s="228"/>
    </row>
    <row r="148" spans="2:17" x14ac:dyDescent="0.2">
      <c r="B148" s="227"/>
      <c r="C148" s="98"/>
      <c r="D148" s="98"/>
      <c r="E148" s="99"/>
      <c r="F148" s="99"/>
      <c r="G148" s="99"/>
      <c r="H148" s="99"/>
      <c r="I148" s="54"/>
      <c r="J148" s="52"/>
      <c r="K148" s="219"/>
      <c r="L148" s="80"/>
      <c r="M148" s="80"/>
      <c r="N148" s="228"/>
    </row>
    <row r="149" spans="2:17" x14ac:dyDescent="0.2">
      <c r="B149" s="227"/>
      <c r="C149" s="108" t="s">
        <v>396</v>
      </c>
      <c r="D149" s="7"/>
      <c r="E149" s="7"/>
      <c r="F149" s="7"/>
      <c r="G149" s="161" t="str">
        <f>IF($H$12="VIOAK_TB6","7B_EPI_HD.dcm","7B_EPI.dcm")</f>
        <v>7B_EPI.dcm</v>
      </c>
      <c r="H149" s="7"/>
      <c r="I149" s="7"/>
      <c r="J149" s="7"/>
      <c r="K149" s="7"/>
      <c r="L149" s="7"/>
      <c r="M149" s="7"/>
      <c r="N149" s="228"/>
    </row>
    <row r="150" spans="2:17" x14ac:dyDescent="0.2">
      <c r="B150" s="227"/>
      <c r="C150" s="79" t="s">
        <v>184</v>
      </c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228"/>
      <c r="P150" s="94"/>
    </row>
    <row r="151" spans="2:17" x14ac:dyDescent="0.2">
      <c r="B151" s="227"/>
      <c r="C151" s="79" t="s">
        <v>172</v>
      </c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228"/>
      <c r="Q151" s="6"/>
    </row>
    <row r="152" spans="2:17" x14ac:dyDescent="0.2">
      <c r="B152" s="227"/>
      <c r="C152" s="79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228"/>
    </row>
    <row r="153" spans="2:17" x14ac:dyDescent="0.2">
      <c r="B153" s="227"/>
      <c r="C153" s="52"/>
      <c r="D153" s="36" t="s">
        <v>73</v>
      </c>
      <c r="E153" s="32">
        <v>90</v>
      </c>
      <c r="F153" s="32">
        <v>0</v>
      </c>
      <c r="G153" s="32">
        <v>270</v>
      </c>
      <c r="H153" s="32">
        <v>270</v>
      </c>
      <c r="I153" s="32">
        <v>0</v>
      </c>
      <c r="J153" s="32">
        <v>90</v>
      </c>
      <c r="K153" s="7"/>
      <c r="L153" s="7"/>
      <c r="M153" s="7"/>
      <c r="N153" s="228"/>
    </row>
    <row r="154" spans="2:17" x14ac:dyDescent="0.2">
      <c r="B154" s="227"/>
      <c r="C154" s="7"/>
      <c r="D154" s="36" t="s">
        <v>75</v>
      </c>
      <c r="E154" s="32">
        <v>10</v>
      </c>
      <c r="F154" s="32">
        <v>10</v>
      </c>
      <c r="G154" s="32">
        <v>10</v>
      </c>
      <c r="H154" s="32">
        <v>0</v>
      </c>
      <c r="I154" s="32">
        <v>0</v>
      </c>
      <c r="J154" s="32">
        <v>0</v>
      </c>
      <c r="K154" s="7"/>
      <c r="L154" s="7"/>
      <c r="M154" s="7"/>
      <c r="N154" s="228"/>
    </row>
    <row r="155" spans="2:17" x14ac:dyDescent="0.2">
      <c r="B155" s="227"/>
      <c r="C155" s="7"/>
      <c r="D155" s="36" t="s">
        <v>74</v>
      </c>
      <c r="E155" s="32">
        <v>0</v>
      </c>
      <c r="F155" s="32">
        <v>0</v>
      </c>
      <c r="G155" s="32">
        <v>0</v>
      </c>
      <c r="H155" s="32">
        <v>9</v>
      </c>
      <c r="I155" s="32">
        <v>9</v>
      </c>
      <c r="J155" s="32">
        <v>9</v>
      </c>
      <c r="K155" s="7"/>
      <c r="L155" s="7"/>
      <c r="M155" s="7"/>
      <c r="N155" s="228"/>
    </row>
    <row r="156" spans="2:17" x14ac:dyDescent="0.2">
      <c r="B156" s="227"/>
      <c r="C156" s="7"/>
      <c r="D156" s="36" t="s">
        <v>76</v>
      </c>
      <c r="E156" s="32">
        <v>0</v>
      </c>
      <c r="F156" s="32">
        <v>0</v>
      </c>
      <c r="G156" s="32">
        <v>0</v>
      </c>
      <c r="H156" s="32">
        <v>10</v>
      </c>
      <c r="I156" s="32">
        <v>10</v>
      </c>
      <c r="J156" s="32">
        <v>10</v>
      </c>
      <c r="K156" s="7"/>
      <c r="L156" s="7"/>
      <c r="M156" s="7"/>
      <c r="N156" s="228"/>
    </row>
    <row r="157" spans="2:17" x14ac:dyDescent="0.2">
      <c r="B157" s="227"/>
      <c r="C157" s="7"/>
      <c r="D157" s="36" t="s">
        <v>77</v>
      </c>
      <c r="E157" s="32">
        <v>9</v>
      </c>
      <c r="F157" s="32">
        <v>9</v>
      </c>
      <c r="G157" s="32">
        <v>9</v>
      </c>
      <c r="H157" s="32">
        <v>0</v>
      </c>
      <c r="I157" s="32">
        <v>0</v>
      </c>
      <c r="J157" s="32">
        <v>0</v>
      </c>
      <c r="K157" s="7"/>
      <c r="L157" s="7"/>
      <c r="M157" s="7"/>
      <c r="N157" s="228"/>
    </row>
    <row r="158" spans="2:17" x14ac:dyDescent="0.2">
      <c r="B158" s="227"/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228"/>
    </row>
    <row r="159" spans="2:17" x14ac:dyDescent="0.2">
      <c r="B159" s="227"/>
      <c r="C159" s="26" t="s">
        <v>38</v>
      </c>
      <c r="D159" s="26" t="s">
        <v>78</v>
      </c>
      <c r="E159" s="26" t="s">
        <v>79</v>
      </c>
      <c r="F159" s="26" t="s">
        <v>80</v>
      </c>
      <c r="G159" s="26" t="s">
        <v>81</v>
      </c>
      <c r="H159" s="26" t="s">
        <v>82</v>
      </c>
      <c r="I159" s="26" t="s">
        <v>83</v>
      </c>
      <c r="J159" s="26" t="s">
        <v>44</v>
      </c>
      <c r="K159" s="26" t="s">
        <v>44</v>
      </c>
      <c r="L159" s="41"/>
      <c r="M159" s="7"/>
      <c r="N159" s="228"/>
    </row>
    <row r="160" spans="2:17" x14ac:dyDescent="0.2">
      <c r="B160" s="227"/>
      <c r="C160" s="29" t="s">
        <v>45</v>
      </c>
      <c r="D160" s="51"/>
      <c r="E160" s="51"/>
      <c r="F160" s="51"/>
      <c r="G160" s="51"/>
      <c r="H160" s="51"/>
      <c r="I160" s="51"/>
      <c r="J160" s="58" t="s">
        <v>85</v>
      </c>
      <c r="K160" s="58" t="s">
        <v>84</v>
      </c>
      <c r="L160" s="41"/>
      <c r="M160" s="7"/>
      <c r="N160" s="228"/>
    </row>
    <row r="161" spans="2:16" x14ac:dyDescent="0.2">
      <c r="B161" s="227"/>
      <c r="C161" s="43">
        <v>6</v>
      </c>
      <c r="D161" s="59"/>
      <c r="E161" s="59"/>
      <c r="F161" s="59"/>
      <c r="G161" s="59"/>
      <c r="H161" s="59"/>
      <c r="I161" s="59"/>
      <c r="J161" s="35">
        <v>1</v>
      </c>
      <c r="K161" s="35">
        <v>20</v>
      </c>
      <c r="L161" s="36" t="str">
        <f>IF(OR(C161="",D161="",E161="",F161="",G161="",H161="",I161=""),"",IF(AND(ABS(D161)&lt;=J161,ABS(E161)&lt;=J161,ABS(F161)&lt;=J161,ABS(G161)&lt;=J161,ABS(H161)&lt;=K161,ABS(I161)&lt;=K161),"PASS","FAIL"))</f>
        <v/>
      </c>
      <c r="M161" s="7"/>
      <c r="N161" s="228"/>
    </row>
    <row r="162" spans="2:16" x14ac:dyDescent="0.2">
      <c r="B162" s="227"/>
      <c r="C162" s="7" t="s">
        <v>106</v>
      </c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228"/>
    </row>
    <row r="163" spans="2:16" x14ac:dyDescent="0.2">
      <c r="B163" s="227"/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228"/>
    </row>
    <row r="164" spans="2:16" x14ac:dyDescent="0.2">
      <c r="B164" s="227"/>
      <c r="C164" s="108" t="s">
        <v>397</v>
      </c>
      <c r="D164" s="7"/>
      <c r="E164" s="7"/>
      <c r="F164" s="7"/>
      <c r="G164" s="161" t="str">
        <f>IF($H$12="VIOAK_TB6","7B_EPI_HD.dcm","7B_EPI.dcm")</f>
        <v>7B_EPI.dcm</v>
      </c>
      <c r="H164" s="7"/>
      <c r="I164" s="7"/>
      <c r="J164" s="7"/>
      <c r="K164" s="7"/>
      <c r="L164" s="7"/>
      <c r="M164" s="7"/>
      <c r="N164" s="228"/>
    </row>
    <row r="165" spans="2:16" x14ac:dyDescent="0.2">
      <c r="B165" s="227"/>
      <c r="C165" s="79" t="s">
        <v>423</v>
      </c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228"/>
    </row>
    <row r="166" spans="2:16" x14ac:dyDescent="0.2">
      <c r="B166" s="227"/>
      <c r="C166" s="196" t="s">
        <v>281</v>
      </c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228"/>
    </row>
    <row r="167" spans="2:16" x14ac:dyDescent="0.2">
      <c r="B167" s="227"/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228"/>
    </row>
    <row r="168" spans="2:16" x14ac:dyDescent="0.2">
      <c r="B168" s="227"/>
      <c r="C168" s="47" t="s">
        <v>38</v>
      </c>
      <c r="D168" s="47" t="s">
        <v>86</v>
      </c>
      <c r="E168" s="47" t="s">
        <v>87</v>
      </c>
      <c r="F168" s="47" t="s">
        <v>88</v>
      </c>
      <c r="G168" s="47" t="s">
        <v>89</v>
      </c>
      <c r="H168" s="47" t="s">
        <v>278</v>
      </c>
      <c r="I168" s="47" t="s">
        <v>279</v>
      </c>
      <c r="J168" s="47" t="s">
        <v>90</v>
      </c>
      <c r="K168" s="41"/>
      <c r="L168" s="41"/>
      <c r="M168" s="41"/>
      <c r="N168" s="232"/>
    </row>
    <row r="169" spans="2:16" x14ac:dyDescent="0.2">
      <c r="B169" s="227"/>
      <c r="C169" s="29" t="s">
        <v>45</v>
      </c>
      <c r="D169" s="58" t="s">
        <v>50</v>
      </c>
      <c r="E169" s="58" t="s">
        <v>50</v>
      </c>
      <c r="F169" s="58" t="s">
        <v>50</v>
      </c>
      <c r="G169" s="58" t="s">
        <v>50</v>
      </c>
      <c r="H169" s="58" t="s">
        <v>280</v>
      </c>
      <c r="I169" s="58" t="s">
        <v>280</v>
      </c>
      <c r="J169" s="51"/>
      <c r="K169" s="41"/>
      <c r="L169" s="41"/>
      <c r="M169" s="41"/>
      <c r="N169" s="232"/>
    </row>
    <row r="170" spans="2:16" x14ac:dyDescent="0.2">
      <c r="B170" s="227"/>
      <c r="C170" s="32">
        <v>6</v>
      </c>
      <c r="D170" s="112"/>
      <c r="E170" s="112"/>
      <c r="F170" s="112"/>
      <c r="G170" s="112"/>
      <c r="H170" s="112"/>
      <c r="I170" s="112"/>
      <c r="J170" s="133"/>
      <c r="K170" s="105" t="str">
        <f t="array" ref="K170">IF(OR(D170:I170=""),"",IF(AND(ABS(D170)&lt;=D171,ABS(E170)&lt;=E171,ABS(F170)&lt;=F171,ABS(G170)&lt;=G171,ABS(H170)&lt;=H171,ABS(I170)&lt;=I171,J170="NO"),"PASS","FAIL"))</f>
        <v/>
      </c>
      <c r="L170" s="107"/>
      <c r="M170" s="107"/>
      <c r="N170" s="236"/>
    </row>
    <row r="171" spans="2:16" x14ac:dyDescent="0.2">
      <c r="B171" s="227"/>
      <c r="C171" s="79" t="s">
        <v>235</v>
      </c>
      <c r="D171" s="121">
        <v>3</v>
      </c>
      <c r="E171" s="121">
        <v>3</v>
      </c>
      <c r="F171" s="121">
        <v>3</v>
      </c>
      <c r="G171" s="121">
        <v>3</v>
      </c>
      <c r="H171" s="121">
        <v>5</v>
      </c>
      <c r="I171" s="121">
        <v>300</v>
      </c>
      <c r="J171" s="61"/>
      <c r="K171" s="7"/>
      <c r="L171" s="7"/>
      <c r="M171" s="7"/>
      <c r="N171" s="228"/>
    </row>
    <row r="172" spans="2:16" x14ac:dyDescent="0.2">
      <c r="B172" s="227"/>
      <c r="C172" s="79"/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228"/>
    </row>
    <row r="173" spans="2:16" x14ac:dyDescent="0.2">
      <c r="B173" s="227"/>
      <c r="C173" s="7" t="s">
        <v>93</v>
      </c>
      <c r="D173" s="7"/>
      <c r="E173" s="7"/>
      <c r="F173" s="308"/>
      <c r="G173" s="309"/>
      <c r="H173" s="309"/>
      <c r="I173" s="309"/>
      <c r="J173" s="309"/>
      <c r="K173" s="309"/>
      <c r="L173" s="310"/>
      <c r="M173" s="7"/>
      <c r="N173" s="228"/>
      <c r="P173" s="96"/>
    </row>
    <row r="174" spans="2:16" x14ac:dyDescent="0.2">
      <c r="B174" s="227"/>
      <c r="C174" s="7"/>
      <c r="D174" s="7"/>
      <c r="E174" s="7"/>
      <c r="F174" s="311"/>
      <c r="G174" s="312"/>
      <c r="H174" s="312"/>
      <c r="I174" s="312"/>
      <c r="J174" s="312"/>
      <c r="K174" s="312"/>
      <c r="L174" s="313"/>
      <c r="M174" s="7"/>
      <c r="N174" s="228"/>
    </row>
    <row r="175" spans="2:16" x14ac:dyDescent="0.2">
      <c r="B175" s="227"/>
      <c r="C175" s="7"/>
      <c r="D175" s="7"/>
      <c r="E175" s="7"/>
      <c r="F175" s="7"/>
      <c r="G175" s="7"/>
      <c r="H175" s="7"/>
      <c r="I175" s="7"/>
      <c r="J175" s="7"/>
      <c r="K175" s="7"/>
      <c r="L175" s="7"/>
      <c r="M175" s="7"/>
      <c r="N175" s="228"/>
    </row>
    <row r="176" spans="2:16" x14ac:dyDescent="0.2">
      <c r="B176" s="227"/>
      <c r="C176" s="108" t="s">
        <v>398</v>
      </c>
      <c r="D176" s="7"/>
      <c r="E176" s="7"/>
      <c r="F176" s="7"/>
      <c r="G176" s="161" t="str">
        <f>IF($H$12="VIOAK_TB6","7B_EPI_HD.dcm","7B_EPI.dcm")</f>
        <v>7B_EPI.dcm</v>
      </c>
      <c r="H176" s="7"/>
      <c r="I176" s="7"/>
      <c r="J176" s="7"/>
      <c r="K176" s="7"/>
      <c r="L176" s="7"/>
      <c r="M176" s="7"/>
      <c r="N176" s="228"/>
    </row>
    <row r="177" spans="2:14" x14ac:dyDescent="0.2">
      <c r="B177" s="227"/>
      <c r="C177" s="79" t="s">
        <v>174</v>
      </c>
      <c r="D177" s="7"/>
      <c r="E177" s="7"/>
      <c r="F177" s="7"/>
      <c r="G177" s="7"/>
      <c r="H177" s="7"/>
      <c r="I177" s="7"/>
      <c r="J177" s="7"/>
      <c r="K177" s="7"/>
      <c r="L177" s="7"/>
      <c r="M177" s="7"/>
      <c r="N177" s="228"/>
    </row>
    <row r="178" spans="2:14" x14ac:dyDescent="0.2">
      <c r="B178" s="227"/>
      <c r="C178" s="79"/>
      <c r="D178" s="7"/>
      <c r="E178" s="7"/>
      <c r="F178" s="7"/>
      <c r="G178" s="7"/>
      <c r="H178" s="7"/>
      <c r="I178" s="7"/>
      <c r="J178" s="7"/>
      <c r="K178" s="7"/>
      <c r="L178" s="7"/>
      <c r="M178" s="7"/>
      <c r="N178" s="228"/>
    </row>
    <row r="179" spans="2:14" x14ac:dyDescent="0.2">
      <c r="B179" s="227"/>
      <c r="C179" s="26" t="s">
        <v>38</v>
      </c>
      <c r="D179" s="26" t="s">
        <v>78</v>
      </c>
      <c r="E179" s="26" t="s">
        <v>79</v>
      </c>
      <c r="F179" s="26" t="s">
        <v>94</v>
      </c>
      <c r="G179" s="62"/>
      <c r="H179" s="7"/>
      <c r="I179" s="7"/>
      <c r="J179" s="7"/>
      <c r="K179" s="7"/>
      <c r="L179" s="7"/>
      <c r="M179" s="7"/>
      <c r="N179" s="228"/>
    </row>
    <row r="180" spans="2:14" x14ac:dyDescent="0.2">
      <c r="B180" s="227"/>
      <c r="C180" s="29" t="s">
        <v>45</v>
      </c>
      <c r="D180" s="29" t="s">
        <v>58</v>
      </c>
      <c r="E180" s="29" t="s">
        <v>58</v>
      </c>
      <c r="F180" s="29" t="s">
        <v>58</v>
      </c>
      <c r="G180" s="63"/>
      <c r="H180" s="7"/>
      <c r="I180" s="7"/>
      <c r="J180" s="7"/>
      <c r="K180" s="7"/>
      <c r="L180" s="7"/>
      <c r="M180" s="7"/>
      <c r="N180" s="228"/>
    </row>
    <row r="181" spans="2:14" x14ac:dyDescent="0.2">
      <c r="B181" s="227"/>
      <c r="C181" s="32">
        <v>6</v>
      </c>
      <c r="D181" s="35">
        <v>14</v>
      </c>
      <c r="E181" s="35">
        <v>0.5</v>
      </c>
      <c r="F181" s="35">
        <v>38</v>
      </c>
      <c r="G181" s="7"/>
      <c r="H181" s="7"/>
      <c r="I181" s="7"/>
      <c r="J181" s="7"/>
      <c r="K181" s="7"/>
      <c r="L181" s="7"/>
      <c r="M181" s="7"/>
      <c r="N181" s="228"/>
    </row>
    <row r="182" spans="2:14" x14ac:dyDescent="0.2">
      <c r="B182" s="227"/>
      <c r="C182" s="32">
        <v>6</v>
      </c>
      <c r="D182" s="35">
        <v>0.5</v>
      </c>
      <c r="E182" s="35">
        <v>14</v>
      </c>
      <c r="F182" s="35">
        <v>38</v>
      </c>
      <c r="G182" s="7"/>
      <c r="H182" s="7"/>
      <c r="I182" s="7"/>
      <c r="J182" s="7"/>
      <c r="K182" s="7"/>
      <c r="L182" s="7"/>
      <c r="M182" s="7"/>
      <c r="N182" s="228"/>
    </row>
    <row r="183" spans="2:14" x14ac:dyDescent="0.2">
      <c r="B183" s="227"/>
      <c r="C183" s="7"/>
      <c r="D183" s="7"/>
      <c r="E183" s="7"/>
      <c r="F183" s="7"/>
      <c r="G183" s="7"/>
      <c r="H183" s="7"/>
      <c r="I183" s="7"/>
      <c r="J183" s="7"/>
      <c r="K183" s="7"/>
      <c r="L183" s="7"/>
      <c r="M183" s="7"/>
      <c r="N183" s="228"/>
    </row>
    <row r="184" spans="2:14" x14ac:dyDescent="0.2">
      <c r="B184" s="227"/>
      <c r="C184" s="27" t="s">
        <v>95</v>
      </c>
      <c r="D184" s="27" t="s">
        <v>66</v>
      </c>
      <c r="E184" s="27" t="s">
        <v>44</v>
      </c>
      <c r="F184" s="180"/>
      <c r="G184" s="27" t="s">
        <v>102</v>
      </c>
      <c r="H184" s="27" t="s">
        <v>44</v>
      </c>
      <c r="I184" s="64"/>
      <c r="J184" s="27" t="s">
        <v>96</v>
      </c>
      <c r="K184" s="64"/>
      <c r="L184" s="27" t="s">
        <v>101</v>
      </c>
      <c r="M184" s="7"/>
      <c r="N184" s="228"/>
    </row>
    <row r="185" spans="2:14" x14ac:dyDescent="0.2">
      <c r="B185" s="227"/>
      <c r="C185" s="60"/>
      <c r="D185" s="60" t="s">
        <v>99</v>
      </c>
      <c r="E185" s="60" t="s">
        <v>98</v>
      </c>
      <c r="F185" s="7"/>
      <c r="G185" s="60"/>
      <c r="H185" s="60" t="s">
        <v>100</v>
      </c>
      <c r="I185" s="65"/>
      <c r="J185" s="60"/>
      <c r="K185" s="65"/>
      <c r="L185" s="66"/>
      <c r="M185" s="7"/>
      <c r="N185" s="228"/>
    </row>
    <row r="186" spans="2:14" x14ac:dyDescent="0.2">
      <c r="B186" s="227"/>
      <c r="C186" s="33"/>
      <c r="D186" s="34">
        <v>4</v>
      </c>
      <c r="E186" s="34">
        <v>0.1</v>
      </c>
      <c r="F186" s="67" t="str">
        <f>IF(C186="","",IF(ABS(C186-D186)&lt;=E186,"PASS","FAIL"))</f>
        <v/>
      </c>
      <c r="G186" s="59"/>
      <c r="H186" s="35">
        <v>10</v>
      </c>
      <c r="I186" s="67" t="str">
        <f>IF(G186="","",IF(ABS(G186)&lt;=H186,"PASS","FAIL"))</f>
        <v/>
      </c>
      <c r="J186" s="195"/>
      <c r="K186" s="41"/>
      <c r="L186" s="36" t="str">
        <f>IF(OR(F186="",I186="",J186=""),"",IF(AND(F186="PASS",I186="PASS",J186="PASS"),"PASS","FAIL"))</f>
        <v/>
      </c>
      <c r="M186" s="7"/>
      <c r="N186" s="228"/>
    </row>
    <row r="187" spans="2:14" x14ac:dyDescent="0.2">
      <c r="B187" s="227"/>
      <c r="C187" s="7"/>
      <c r="D187" s="7"/>
      <c r="E187" s="7"/>
      <c r="F187" s="7"/>
      <c r="G187" s="7"/>
      <c r="H187" s="7"/>
      <c r="I187" s="7"/>
      <c r="J187" s="7"/>
      <c r="K187" s="7"/>
      <c r="L187" s="7"/>
      <c r="M187" s="7"/>
      <c r="N187" s="228"/>
    </row>
    <row r="188" spans="2:14" x14ac:dyDescent="0.2">
      <c r="B188" s="227"/>
      <c r="C188" s="7" t="s">
        <v>97</v>
      </c>
      <c r="D188" s="308"/>
      <c r="E188" s="309"/>
      <c r="F188" s="309"/>
      <c r="G188" s="309"/>
      <c r="H188" s="309"/>
      <c r="I188" s="309"/>
      <c r="J188" s="309"/>
      <c r="K188" s="309"/>
      <c r="L188" s="310"/>
      <c r="M188" s="7"/>
      <c r="N188" s="228"/>
    </row>
    <row r="189" spans="2:14" x14ac:dyDescent="0.2">
      <c r="B189" s="227"/>
      <c r="C189" s="7"/>
      <c r="D189" s="311"/>
      <c r="E189" s="312"/>
      <c r="F189" s="312"/>
      <c r="G189" s="312"/>
      <c r="H189" s="312"/>
      <c r="I189" s="312"/>
      <c r="J189" s="312"/>
      <c r="K189" s="312"/>
      <c r="L189" s="313"/>
      <c r="M189" s="7"/>
      <c r="N189" s="228"/>
    </row>
    <row r="190" spans="2:14" x14ac:dyDescent="0.2">
      <c r="B190" s="227"/>
      <c r="C190" s="79" t="s">
        <v>185</v>
      </c>
      <c r="D190" s="7"/>
      <c r="E190" s="7"/>
      <c r="F190" s="7"/>
      <c r="G190" s="7"/>
      <c r="H190" s="7"/>
      <c r="I190" s="7"/>
      <c r="J190" s="7"/>
      <c r="K190" s="7"/>
      <c r="L190" s="7"/>
      <c r="M190" s="7"/>
      <c r="N190" s="228"/>
    </row>
    <row r="191" spans="2:14" ht="15" x14ac:dyDescent="0.2">
      <c r="B191" s="227"/>
      <c r="C191" s="240"/>
      <c r="D191" s="7"/>
      <c r="E191" s="7"/>
      <c r="F191" s="7"/>
      <c r="G191" s="7"/>
      <c r="H191" s="7"/>
      <c r="I191" s="7"/>
      <c r="J191" s="7"/>
      <c r="K191" s="7"/>
      <c r="L191" s="7"/>
      <c r="M191" s="7"/>
      <c r="N191" s="228"/>
    </row>
    <row r="192" spans="2:14" x14ac:dyDescent="0.2">
      <c r="B192" s="227"/>
      <c r="C192" s="108" t="s">
        <v>399</v>
      </c>
      <c r="D192" s="7"/>
      <c r="E192" s="7"/>
      <c r="F192" s="7"/>
      <c r="G192" s="161" t="str">
        <f>IF($H$12="VIOAK_TB6","7B_EPI_HD.dcm","7B_EPI.dcm")</f>
        <v>7B_EPI.dcm</v>
      </c>
      <c r="H192" s="7"/>
      <c r="I192" s="7"/>
      <c r="J192" s="7"/>
      <c r="K192" s="7"/>
      <c r="L192" s="7"/>
      <c r="M192" s="7"/>
      <c r="N192" s="228"/>
    </row>
    <row r="193" spans="2:17" x14ac:dyDescent="0.2">
      <c r="B193" s="227"/>
      <c r="C193" s="79" t="s">
        <v>180</v>
      </c>
      <c r="D193" s="7"/>
      <c r="E193" s="7"/>
      <c r="F193" s="7"/>
      <c r="G193" s="7"/>
      <c r="H193" s="7"/>
      <c r="I193" s="7"/>
      <c r="J193" s="7"/>
      <c r="K193" s="7"/>
      <c r="L193" s="7"/>
      <c r="M193" s="7"/>
      <c r="N193" s="228"/>
    </row>
    <row r="194" spans="2:17" x14ac:dyDescent="0.2">
      <c r="B194" s="227"/>
      <c r="C194" s="79" t="s">
        <v>506</v>
      </c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228"/>
    </row>
    <row r="195" spans="2:17" x14ac:dyDescent="0.2">
      <c r="B195" s="227"/>
      <c r="C195" s="7"/>
      <c r="D195" s="7"/>
      <c r="E195" s="7"/>
      <c r="F195" s="7"/>
      <c r="G195" s="7"/>
      <c r="H195" s="7"/>
      <c r="I195" s="7"/>
      <c r="J195" s="7"/>
      <c r="K195" s="7"/>
      <c r="L195" s="7"/>
      <c r="M195" s="7"/>
      <c r="N195" s="228"/>
    </row>
    <row r="196" spans="2:17" x14ac:dyDescent="0.2">
      <c r="B196" s="227"/>
      <c r="C196" s="26" t="s">
        <v>38</v>
      </c>
      <c r="D196" s="26" t="s">
        <v>44</v>
      </c>
      <c r="E196" s="7"/>
      <c r="F196" s="7"/>
      <c r="G196" s="7"/>
      <c r="H196" s="7"/>
      <c r="I196" s="7"/>
      <c r="J196" s="7"/>
      <c r="K196" s="7"/>
      <c r="L196" s="7"/>
      <c r="M196" s="7"/>
      <c r="N196" s="228"/>
    </row>
    <row r="197" spans="2:17" x14ac:dyDescent="0.2">
      <c r="B197" s="227"/>
      <c r="C197" s="29" t="s">
        <v>45</v>
      </c>
      <c r="D197" s="104" t="s">
        <v>497</v>
      </c>
      <c r="E197" s="7"/>
      <c r="F197" s="7"/>
      <c r="G197" s="7"/>
      <c r="H197" s="7"/>
      <c r="I197" s="7"/>
      <c r="J197" s="7"/>
      <c r="K197" s="7"/>
      <c r="L197" s="7"/>
      <c r="M197" s="7"/>
      <c r="N197" s="228"/>
      <c r="Q197" s="273"/>
    </row>
    <row r="198" spans="2:17" x14ac:dyDescent="0.2">
      <c r="B198" s="227"/>
      <c r="C198" s="32">
        <v>6</v>
      </c>
      <c r="D198" s="133"/>
      <c r="E198" s="28"/>
      <c r="F198" s="7"/>
      <c r="G198" s="7"/>
      <c r="H198" s="7"/>
      <c r="I198" s="7"/>
      <c r="J198" s="7"/>
      <c r="K198" s="7"/>
      <c r="L198" s="7"/>
      <c r="M198" s="7"/>
      <c r="N198" s="228"/>
    </row>
    <row r="199" spans="2:17" x14ac:dyDescent="0.2">
      <c r="B199" s="227"/>
      <c r="C199" s="7"/>
      <c r="D199" s="61"/>
      <c r="E199" s="7"/>
      <c r="F199" s="7"/>
      <c r="G199" s="7"/>
      <c r="H199" s="7"/>
      <c r="I199" s="7"/>
      <c r="J199" s="7"/>
      <c r="K199" s="7"/>
      <c r="L199" s="7"/>
      <c r="M199" s="7"/>
      <c r="N199" s="228"/>
      <c r="P199" s="96"/>
    </row>
    <row r="200" spans="2:17" x14ac:dyDescent="0.2">
      <c r="B200" s="227"/>
      <c r="C200" s="108" t="s">
        <v>400</v>
      </c>
      <c r="D200" s="7"/>
      <c r="E200" s="7"/>
      <c r="F200" s="7"/>
      <c r="G200" s="161" t="str">
        <f>IF($H$12="VIOAK_TB6","7B_EPI_HD.dcm","7B_EPI.dcm")</f>
        <v>7B_EPI.dcm</v>
      </c>
      <c r="H200" s="7"/>
      <c r="I200" s="7"/>
      <c r="J200" s="7"/>
      <c r="K200" s="7"/>
      <c r="L200" s="7"/>
      <c r="M200" s="7"/>
      <c r="N200" s="228"/>
      <c r="P200" s="96"/>
    </row>
    <row r="201" spans="2:17" x14ac:dyDescent="0.2">
      <c r="B201" s="227"/>
      <c r="C201" s="79" t="s">
        <v>180</v>
      </c>
      <c r="D201" s="7"/>
      <c r="E201" s="7"/>
      <c r="F201" s="7"/>
      <c r="G201" s="7"/>
      <c r="H201" s="7"/>
      <c r="I201" s="7"/>
      <c r="J201" s="7"/>
      <c r="K201" s="7"/>
      <c r="L201" s="7"/>
      <c r="M201" s="7"/>
      <c r="N201" s="228"/>
      <c r="P201" s="96"/>
    </row>
    <row r="202" spans="2:17" x14ac:dyDescent="0.2">
      <c r="B202" s="227"/>
      <c r="C202" s="79" t="s">
        <v>506</v>
      </c>
      <c r="D202" s="7"/>
      <c r="E202" s="7"/>
      <c r="F202" s="7"/>
      <c r="G202" s="7"/>
      <c r="H202" s="7"/>
      <c r="I202" s="7"/>
      <c r="J202" s="7"/>
      <c r="K202" s="7"/>
      <c r="L202" s="7"/>
      <c r="M202" s="7"/>
      <c r="N202" s="228"/>
      <c r="P202" s="96"/>
    </row>
    <row r="203" spans="2:17" x14ac:dyDescent="0.2">
      <c r="B203" s="227"/>
      <c r="C203" s="7"/>
      <c r="D203" s="7"/>
      <c r="E203" s="7"/>
      <c r="F203" s="7"/>
      <c r="G203" s="7"/>
      <c r="H203" s="7"/>
      <c r="I203" s="7"/>
      <c r="J203" s="7"/>
      <c r="K203" s="7"/>
      <c r="L203" s="7"/>
      <c r="M203" s="7"/>
      <c r="N203" s="228"/>
      <c r="P203" s="96"/>
    </row>
    <row r="204" spans="2:17" x14ac:dyDescent="0.2">
      <c r="B204" s="227"/>
      <c r="C204" s="26" t="s">
        <v>38</v>
      </c>
      <c r="D204" s="26" t="s">
        <v>44</v>
      </c>
      <c r="E204" s="7"/>
      <c r="F204" s="7"/>
      <c r="G204" s="7"/>
      <c r="H204" s="7"/>
      <c r="I204" s="7"/>
      <c r="J204" s="7"/>
      <c r="K204" s="7"/>
      <c r="L204" s="7"/>
      <c r="M204" s="7"/>
      <c r="N204" s="228"/>
      <c r="P204" s="96"/>
    </row>
    <row r="205" spans="2:17" x14ac:dyDescent="0.2">
      <c r="B205" s="227"/>
      <c r="C205" s="29" t="s">
        <v>45</v>
      </c>
      <c r="D205" s="104" t="s">
        <v>497</v>
      </c>
      <c r="E205" s="7"/>
      <c r="F205" s="7"/>
      <c r="G205" s="7"/>
      <c r="H205" s="7"/>
      <c r="I205" s="7"/>
      <c r="J205" s="7"/>
      <c r="K205" s="7"/>
      <c r="L205" s="7"/>
      <c r="M205" s="7"/>
      <c r="N205" s="228"/>
      <c r="P205" s="96"/>
      <c r="Q205" s="273"/>
    </row>
    <row r="206" spans="2:17" x14ac:dyDescent="0.2">
      <c r="B206" s="227"/>
      <c r="C206" s="32">
        <v>6</v>
      </c>
      <c r="D206" s="133"/>
      <c r="E206" s="28"/>
      <c r="F206" s="7"/>
      <c r="G206" s="7"/>
      <c r="H206" s="7"/>
      <c r="I206" s="7"/>
      <c r="J206" s="7"/>
      <c r="K206" s="7"/>
      <c r="L206" s="7"/>
      <c r="M206" s="7"/>
      <c r="N206" s="228"/>
    </row>
    <row r="207" spans="2:17" x14ac:dyDescent="0.2">
      <c r="B207" s="227"/>
      <c r="C207" s="7"/>
      <c r="D207" s="61"/>
      <c r="E207" s="7"/>
      <c r="F207" s="7"/>
      <c r="G207" s="7"/>
      <c r="H207" s="7"/>
      <c r="I207" s="7"/>
      <c r="J207" s="7"/>
      <c r="K207" s="7"/>
      <c r="L207" s="7"/>
      <c r="M207" s="7"/>
      <c r="N207" s="228"/>
    </row>
    <row r="208" spans="2:17" x14ac:dyDescent="0.2">
      <c r="B208" s="227"/>
      <c r="C208" s="108" t="s">
        <v>401</v>
      </c>
      <c r="D208" s="7"/>
      <c r="E208" s="7"/>
      <c r="F208" s="7"/>
      <c r="G208" s="161" t="str">
        <f>IF($H$12="VIOAK_TB6","7B_EPI_HD.dcm","7B_EPI.dcm")</f>
        <v>7B_EPI.dcm</v>
      </c>
      <c r="H208" s="7"/>
      <c r="I208" s="7"/>
      <c r="J208" s="7"/>
      <c r="K208" s="7"/>
      <c r="L208" s="7"/>
      <c r="M208" s="7"/>
      <c r="N208" s="228"/>
    </row>
    <row r="209" spans="2:17" x14ac:dyDescent="0.2">
      <c r="B209" s="227"/>
      <c r="C209" s="79" t="s">
        <v>461</v>
      </c>
      <c r="D209" s="7"/>
      <c r="E209" s="7"/>
      <c r="F209" s="7"/>
      <c r="G209" s="7"/>
      <c r="H209" s="7"/>
      <c r="I209" s="7"/>
      <c r="J209" s="7"/>
      <c r="K209" s="7"/>
      <c r="L209" s="7"/>
      <c r="M209" s="7"/>
      <c r="N209" s="228"/>
    </row>
    <row r="210" spans="2:17" x14ac:dyDescent="0.2">
      <c r="B210" s="227"/>
      <c r="C210" s="79" t="s">
        <v>507</v>
      </c>
      <c r="D210" s="7"/>
      <c r="E210" s="7"/>
      <c r="F210" s="7"/>
      <c r="G210" s="7"/>
      <c r="H210" s="7"/>
      <c r="I210" s="7"/>
      <c r="J210" s="7"/>
      <c r="K210" s="7"/>
      <c r="L210" s="7"/>
      <c r="M210" s="7"/>
      <c r="N210" s="228"/>
      <c r="Q210" s="273"/>
    </row>
    <row r="211" spans="2:17" x14ac:dyDescent="0.2">
      <c r="B211" s="227"/>
      <c r="C211" s="7"/>
      <c r="D211" s="7"/>
      <c r="E211" s="7"/>
      <c r="F211" s="7"/>
      <c r="G211" s="7"/>
      <c r="H211" s="7"/>
      <c r="I211" s="7"/>
      <c r="J211" s="7"/>
      <c r="K211" s="7"/>
      <c r="L211" s="7"/>
      <c r="M211" s="7"/>
      <c r="N211" s="228"/>
    </row>
    <row r="212" spans="2:17" x14ac:dyDescent="0.2">
      <c r="B212" s="227"/>
      <c r="C212" s="47" t="s">
        <v>38</v>
      </c>
      <c r="D212" s="47" t="s">
        <v>273</v>
      </c>
      <c r="E212" s="47" t="s">
        <v>352</v>
      </c>
      <c r="F212" s="47" t="s">
        <v>351</v>
      </c>
      <c r="G212" s="47" t="s">
        <v>353</v>
      </c>
      <c r="H212" s="47" t="s">
        <v>274</v>
      </c>
      <c r="I212" s="47" t="s">
        <v>354</v>
      </c>
      <c r="J212" s="47" t="s">
        <v>44</v>
      </c>
      <c r="K212" s="7"/>
      <c r="L212" s="79" t="s">
        <v>462</v>
      </c>
      <c r="M212" s="7"/>
      <c r="N212" s="228"/>
    </row>
    <row r="213" spans="2:17" x14ac:dyDescent="0.2">
      <c r="B213" s="227"/>
      <c r="C213" s="29" t="s">
        <v>45</v>
      </c>
      <c r="D213" s="58" t="s">
        <v>350</v>
      </c>
      <c r="E213" s="104" t="s">
        <v>350</v>
      </c>
      <c r="F213" s="58" t="s">
        <v>350</v>
      </c>
      <c r="G213" s="104" t="s">
        <v>350</v>
      </c>
      <c r="H213" s="58"/>
      <c r="I213" s="104"/>
      <c r="J213" s="177">
        <v>0.2</v>
      </c>
      <c r="K213" s="7"/>
      <c r="L213" s="334" t="s">
        <v>530</v>
      </c>
      <c r="M213" s="335"/>
      <c r="N213" s="228"/>
    </row>
    <row r="214" spans="2:17" x14ac:dyDescent="0.2">
      <c r="B214" s="227"/>
      <c r="C214" s="32">
        <v>6</v>
      </c>
      <c r="D214" s="145"/>
      <c r="E214" s="44">
        <f>Data!AA52</f>
        <v>0.75</v>
      </c>
      <c r="F214" s="164"/>
      <c r="G214" s="44">
        <f>Data!AB52</f>
        <v>1</v>
      </c>
      <c r="H214" s="112"/>
      <c r="I214" s="35">
        <f>Data!AC52</f>
        <v>750</v>
      </c>
      <c r="J214" s="105" t="str">
        <f>IF(OR(D214="",F214="",H214=""),"",IF(AND(D214&gt;=0.8*E214,F214&gt;=0.8*G214,H214&gt;=0.8*I214),"PASS","FAIL"))</f>
        <v/>
      </c>
      <c r="K214" s="7"/>
      <c r="L214" s="334" t="s">
        <v>529</v>
      </c>
      <c r="M214" s="335"/>
      <c r="N214" s="228"/>
    </row>
    <row r="215" spans="2:17" x14ac:dyDescent="0.2">
      <c r="B215" s="227"/>
      <c r="C215" s="7"/>
      <c r="D215" s="61"/>
      <c r="E215" s="61"/>
      <c r="F215" s="7"/>
      <c r="G215" s="61"/>
      <c r="H215" s="61"/>
      <c r="I215" s="7"/>
      <c r="J215" s="7"/>
      <c r="K215" s="7"/>
      <c r="L215" s="7"/>
      <c r="M215" s="7"/>
      <c r="N215" s="228"/>
    </row>
    <row r="216" spans="2:17" x14ac:dyDescent="0.2">
      <c r="B216" s="230"/>
      <c r="C216" s="108" t="s">
        <v>402</v>
      </c>
      <c r="D216" s="80"/>
      <c r="E216" s="106"/>
      <c r="F216" s="107"/>
      <c r="G216" s="161" t="str">
        <f>IF($H$12="VIOAK_TB6","8RA_MechHD.dcm","8RA_Mech.dcm")</f>
        <v>8RA_Mech.dcm</v>
      </c>
      <c r="H216" s="80"/>
      <c r="I216" s="80"/>
      <c r="J216" s="80"/>
      <c r="K216" s="80"/>
      <c r="L216" s="80"/>
      <c r="M216" s="80"/>
      <c r="N216" s="228"/>
    </row>
    <row r="217" spans="2:17" x14ac:dyDescent="0.2">
      <c r="B217" s="230"/>
      <c r="C217" s="79" t="s">
        <v>207</v>
      </c>
      <c r="D217" s="80"/>
      <c r="E217" s="106"/>
      <c r="F217" s="107"/>
      <c r="G217" s="80"/>
      <c r="H217" s="80"/>
      <c r="I217" s="80"/>
      <c r="J217" s="80"/>
      <c r="K217" s="80"/>
      <c r="L217" s="80"/>
      <c r="M217" s="80"/>
      <c r="N217" s="228"/>
      <c r="O217" s="4"/>
    </row>
    <row r="218" spans="2:17" x14ac:dyDescent="0.2">
      <c r="B218" s="230"/>
      <c r="C218" s="79" t="s">
        <v>208</v>
      </c>
      <c r="D218" s="80"/>
      <c r="E218" s="106"/>
      <c r="F218" s="107"/>
      <c r="G218" s="80"/>
      <c r="H218" s="80"/>
      <c r="I218" s="80"/>
      <c r="J218" s="80"/>
      <c r="K218" s="80"/>
      <c r="L218" s="80"/>
      <c r="M218" s="80"/>
      <c r="N218" s="228"/>
      <c r="O218" s="4"/>
    </row>
    <row r="219" spans="2:17" x14ac:dyDescent="0.2">
      <c r="B219" s="230"/>
      <c r="C219" s="79" t="s">
        <v>365</v>
      </c>
      <c r="D219" s="80"/>
      <c r="E219" s="106"/>
      <c r="F219" s="107"/>
      <c r="G219" s="80"/>
      <c r="H219" s="80"/>
      <c r="I219" s="80"/>
      <c r="J219" s="80"/>
      <c r="K219" s="80"/>
      <c r="L219" s="80"/>
      <c r="M219" s="80"/>
      <c r="N219" s="228"/>
      <c r="O219" s="4"/>
    </row>
    <row r="220" spans="2:17" x14ac:dyDescent="0.2">
      <c r="B220" s="230"/>
      <c r="C220" s="79"/>
      <c r="D220" s="80"/>
      <c r="E220" s="106"/>
      <c r="F220" s="107"/>
      <c r="G220" s="80"/>
      <c r="H220" s="80"/>
      <c r="I220" s="80"/>
      <c r="J220" s="80"/>
      <c r="K220" s="80"/>
      <c r="L220" s="80"/>
      <c r="M220" s="80"/>
      <c r="N220" s="228"/>
      <c r="O220" s="4"/>
    </row>
    <row r="221" spans="2:17" x14ac:dyDescent="0.2">
      <c r="B221" s="230"/>
      <c r="C221" s="108" t="s">
        <v>222</v>
      </c>
      <c r="D221" s="80"/>
      <c r="E221" s="106"/>
      <c r="F221" s="107"/>
      <c r="G221" s="80"/>
      <c r="H221" s="80"/>
      <c r="I221" s="80"/>
      <c r="J221" s="80"/>
      <c r="K221" s="80"/>
      <c r="L221" s="80"/>
      <c r="M221" s="80"/>
      <c r="N221" s="228"/>
      <c r="O221" s="4"/>
    </row>
    <row r="222" spans="2:17" x14ac:dyDescent="0.2">
      <c r="B222" s="230"/>
      <c r="C222" s="80"/>
      <c r="D222" s="185" t="s">
        <v>221</v>
      </c>
      <c r="E222" s="174">
        <v>0</v>
      </c>
      <c r="F222" s="131">
        <v>90</v>
      </c>
      <c r="G222" s="105">
        <v>270</v>
      </c>
      <c r="H222" s="174">
        <v>180</v>
      </c>
      <c r="I222" s="174" t="s">
        <v>220</v>
      </c>
      <c r="J222" s="241" t="s">
        <v>52</v>
      </c>
      <c r="K222" s="241" t="s">
        <v>44</v>
      </c>
      <c r="L222" s="80"/>
      <c r="M222" s="80"/>
      <c r="N222" s="228"/>
      <c r="O222" s="4"/>
    </row>
    <row r="223" spans="2:17" x14ac:dyDescent="0.2">
      <c r="B223" s="230"/>
      <c r="C223" s="80"/>
      <c r="D223" s="185" t="s">
        <v>282</v>
      </c>
      <c r="E223" s="112"/>
      <c r="F223" s="112"/>
      <c r="G223" s="112"/>
      <c r="H223" s="112"/>
      <c r="I223" s="112"/>
      <c r="J223" s="242">
        <v>0</v>
      </c>
      <c r="K223" s="242">
        <v>1</v>
      </c>
      <c r="L223" s="80"/>
      <c r="M223" s="80"/>
      <c r="N223" s="228"/>
      <c r="O223" s="4"/>
    </row>
    <row r="224" spans="2:17" x14ac:dyDescent="0.2">
      <c r="B224" s="230"/>
      <c r="C224" s="80"/>
      <c r="D224" s="185" t="s">
        <v>283</v>
      </c>
      <c r="E224" s="112"/>
      <c r="F224" s="112"/>
      <c r="G224" s="112"/>
      <c r="H224" s="112"/>
      <c r="I224" s="112"/>
      <c r="J224" s="242">
        <v>0</v>
      </c>
      <c r="K224" s="242">
        <v>1</v>
      </c>
      <c r="L224" s="80"/>
      <c r="M224" s="80"/>
      <c r="N224" s="228"/>
      <c r="O224" s="4"/>
    </row>
    <row r="225" spans="2:15" x14ac:dyDescent="0.2">
      <c r="B225" s="230"/>
      <c r="C225" s="80"/>
      <c r="D225" s="185" t="s">
        <v>230</v>
      </c>
      <c r="E225" s="112"/>
      <c r="F225" s="112"/>
      <c r="G225" s="112"/>
      <c r="H225" s="112"/>
      <c r="I225" s="112"/>
      <c r="J225" s="242">
        <v>15</v>
      </c>
      <c r="K225" s="242">
        <v>1</v>
      </c>
      <c r="L225" s="80"/>
      <c r="M225" s="80"/>
      <c r="N225" s="228"/>
      <c r="O225" s="4"/>
    </row>
    <row r="226" spans="2:15" x14ac:dyDescent="0.2">
      <c r="B226" s="230"/>
      <c r="C226" s="80"/>
      <c r="D226" s="185" t="s">
        <v>231</v>
      </c>
      <c r="E226" s="112"/>
      <c r="F226" s="112"/>
      <c r="G226" s="112"/>
      <c r="H226" s="112"/>
      <c r="I226" s="112"/>
      <c r="J226" s="220" t="s">
        <v>232</v>
      </c>
      <c r="K226" s="220" t="s">
        <v>233</v>
      </c>
      <c r="L226" s="80"/>
      <c r="M226" s="80"/>
      <c r="N226" s="228"/>
      <c r="O226" s="4"/>
    </row>
    <row r="227" spans="2:15" x14ac:dyDescent="0.2">
      <c r="B227" s="230"/>
      <c r="C227" s="1"/>
      <c r="D227" s="185" t="s">
        <v>234</v>
      </c>
      <c r="E227" s="131" t="str">
        <f t="array" ref="E227">IF(OR(E223:E226=""),"",IF(AND(E226="Pass",ABS(E225-$J$225)&lt;=$K$225,ABS(E223)&lt;=$K$223,ABS(E224)&lt;=$K$224),"PASS","FAIL"))</f>
        <v/>
      </c>
      <c r="F227" s="131" t="str">
        <f t="array" ref="F227">IF(OR(F223:F226=""),"",IF(AND(F226="Pass",ABS(F225-$J$225)&lt;=$K$225,ABS(F223)&lt;=$K$223,ABS(F224)&lt;=$K$224),"PASS","FAIL"))</f>
        <v/>
      </c>
      <c r="G227" s="131" t="str">
        <f t="array" ref="G227">IF(OR(G223:G226=""),"",IF(AND(G226="Pass",ABS(G225-$J$225)&lt;=$K$225,ABS(G223)&lt;=$K$223,ABS(G224)&lt;=$K$224),"PASS","FAIL"))</f>
        <v/>
      </c>
      <c r="H227" s="131" t="str">
        <f t="array" ref="H227">IF(OR(H223:H226=""),"",IF(AND(H226="Pass",ABS(H225-$J$225)&lt;=$K$225,ABS(H223)&lt;=$K$223,ABS(H224)&lt;=$K$224),"PASS","FAIL"))</f>
        <v/>
      </c>
      <c r="I227" s="131" t="e">
        <f>IF(OR(I223:I226=""),"",IF(AND(I226="Pass",ABS(I225-$J$225)&lt;=$K$225,ABS(I223)&lt;=$K$223,ABS(I224)&lt;=$K$224),"PASS","FAIL"))</f>
        <v>#VALUE!</v>
      </c>
      <c r="J227" s="220"/>
      <c r="K227" s="80"/>
      <c r="L227" s="80"/>
      <c r="M227" s="80"/>
      <c r="N227" s="228"/>
      <c r="O227" s="4"/>
    </row>
    <row r="228" spans="2:15" x14ac:dyDescent="0.2">
      <c r="B228" s="230"/>
      <c r="C228" s="108"/>
      <c r="D228" s="80"/>
      <c r="E228" s="80"/>
      <c r="F228" s="107"/>
      <c r="G228" s="80"/>
      <c r="H228" s="80"/>
      <c r="I228" s="80"/>
      <c r="J228" s="80"/>
      <c r="K228" s="80"/>
      <c r="L228" s="80"/>
      <c r="M228" s="80"/>
      <c r="N228" s="228"/>
      <c r="O228" s="4"/>
    </row>
    <row r="229" spans="2:15" ht="19.5" x14ac:dyDescent="0.35">
      <c r="B229" s="230"/>
      <c r="C229" s="108"/>
      <c r="D229" s="80"/>
      <c r="E229" s="243" t="s">
        <v>360</v>
      </c>
      <c r="F229" s="83" t="s">
        <v>361</v>
      </c>
      <c r="G229" s="80"/>
      <c r="H229" s="80"/>
      <c r="I229" s="80"/>
      <c r="J229" s="80"/>
      <c r="K229" s="80"/>
      <c r="L229" s="80"/>
      <c r="M229" s="80"/>
      <c r="N229" s="228"/>
      <c r="O229" s="4"/>
    </row>
    <row r="230" spans="2:15" x14ac:dyDescent="0.2">
      <c r="B230" s="230"/>
      <c r="C230" s="80"/>
      <c r="D230" s="244" t="s">
        <v>362</v>
      </c>
      <c r="E230" s="112"/>
      <c r="F230" s="175">
        <v>4.5</v>
      </c>
      <c r="G230" s="174" t="str">
        <f>IF(E230="","",IF(ABS(E230)&lt;=F230,"PASS","FAIL"))</f>
        <v/>
      </c>
      <c r="H230" s="80"/>
      <c r="I230" s="80"/>
      <c r="J230" s="80"/>
      <c r="K230" s="80"/>
      <c r="L230" s="80"/>
      <c r="M230" s="80"/>
      <c r="N230" s="228"/>
      <c r="O230" s="4"/>
    </row>
    <row r="231" spans="2:15" x14ac:dyDescent="0.2">
      <c r="B231" s="230"/>
      <c r="C231" s="80"/>
      <c r="D231" s="244" t="s">
        <v>363</v>
      </c>
      <c r="E231" s="112"/>
      <c r="F231" s="175">
        <v>4.5</v>
      </c>
      <c r="G231" s="174" t="str">
        <f>IF(E231="","",IF(ABS(E231)&lt;=F231,"PASS","FAIL"))</f>
        <v/>
      </c>
      <c r="H231" s="80"/>
      <c r="I231" s="80"/>
      <c r="J231" s="80"/>
      <c r="K231" s="80"/>
      <c r="L231" s="80"/>
      <c r="M231" s="80"/>
      <c r="N231" s="228"/>
      <c r="O231" s="4"/>
    </row>
    <row r="232" spans="2:15" x14ac:dyDescent="0.2">
      <c r="B232" s="230"/>
      <c r="C232" s="80"/>
      <c r="D232" s="244" t="s">
        <v>364</v>
      </c>
      <c r="E232" s="112"/>
      <c r="F232" s="175">
        <v>4.5</v>
      </c>
      <c r="G232" s="174" t="str">
        <f>IF(E232="","",IF(ABS(E232)&lt;=F232,"PASS","FAIL"))</f>
        <v/>
      </c>
      <c r="H232" s="159"/>
      <c r="I232" s="80"/>
      <c r="J232" s="80"/>
      <c r="K232" s="80"/>
      <c r="L232" s="80"/>
      <c r="M232" s="80"/>
      <c r="N232" s="228"/>
      <c r="O232" s="4"/>
    </row>
    <row r="233" spans="2:15" x14ac:dyDescent="0.2">
      <c r="B233" s="230"/>
      <c r="C233" s="80"/>
      <c r="D233" s="244"/>
      <c r="E233" s="265"/>
      <c r="F233" s="265"/>
      <c r="G233" s="266"/>
      <c r="H233" s="159"/>
      <c r="I233" s="80"/>
      <c r="J233" s="80"/>
      <c r="K233" s="80"/>
      <c r="L233" s="80"/>
      <c r="M233" s="80"/>
      <c r="N233" s="228"/>
      <c r="O233" s="4"/>
    </row>
    <row r="234" spans="2:15" x14ac:dyDescent="0.2">
      <c r="B234" s="230"/>
      <c r="C234" s="80"/>
      <c r="D234" s="244"/>
      <c r="E234" s="265" t="s">
        <v>491</v>
      </c>
      <c r="F234" s="265" t="s">
        <v>493</v>
      </c>
      <c r="G234" s="221" t="s">
        <v>66</v>
      </c>
      <c r="H234" s="83" t="s">
        <v>361</v>
      </c>
      <c r="I234" s="80"/>
      <c r="J234" s="80"/>
      <c r="K234" s="80"/>
      <c r="L234" s="80"/>
      <c r="M234" s="80"/>
      <c r="N234" s="228"/>
      <c r="O234" s="4"/>
    </row>
    <row r="235" spans="2:15" x14ac:dyDescent="0.2">
      <c r="B235" s="230"/>
      <c r="C235" s="80"/>
      <c r="D235" s="244" t="s">
        <v>492</v>
      </c>
      <c r="E235" s="112"/>
      <c r="F235" s="112"/>
      <c r="G235" s="175">
        <v>18</v>
      </c>
      <c r="H235" s="152">
        <v>2</v>
      </c>
      <c r="I235" s="174" t="str">
        <f>IF(OR(E235="",F235=""),"",IF(OR(ABS(E235-G235)&gt;H235,ABS(F235-G235)&gt;H235),"FAIL","PASS"))</f>
        <v/>
      </c>
      <c r="J235" s="267" t="s">
        <v>494</v>
      </c>
      <c r="K235" s="80"/>
      <c r="L235" s="80"/>
      <c r="M235" s="80"/>
      <c r="N235" s="228"/>
      <c r="O235" s="4"/>
    </row>
    <row r="236" spans="2:15" x14ac:dyDescent="0.2">
      <c r="B236" s="230"/>
      <c r="C236" s="118"/>
      <c r="D236" s="80"/>
      <c r="E236" s="1"/>
      <c r="F236" s="107"/>
      <c r="G236" s="80"/>
      <c r="H236" s="80"/>
      <c r="I236" s="80"/>
      <c r="J236" s="80"/>
      <c r="K236" s="80"/>
      <c r="L236" s="80"/>
      <c r="M236" s="80"/>
      <c r="N236" s="228"/>
      <c r="O236" s="4"/>
    </row>
    <row r="237" spans="2:15" x14ac:dyDescent="0.2">
      <c r="B237" s="230"/>
      <c r="C237" s="118" t="s">
        <v>97</v>
      </c>
      <c r="D237" s="308"/>
      <c r="E237" s="309"/>
      <c r="F237" s="309"/>
      <c r="G237" s="309"/>
      <c r="H237" s="309"/>
      <c r="I237" s="309"/>
      <c r="J237" s="309"/>
      <c r="K237" s="309"/>
      <c r="L237" s="310"/>
      <c r="M237" s="80"/>
      <c r="N237" s="228"/>
      <c r="O237" s="4"/>
    </row>
    <row r="238" spans="2:15" x14ac:dyDescent="0.2">
      <c r="B238" s="230"/>
      <c r="C238" s="118"/>
      <c r="D238" s="311"/>
      <c r="E238" s="312"/>
      <c r="F238" s="312"/>
      <c r="G238" s="312"/>
      <c r="H238" s="312"/>
      <c r="I238" s="312"/>
      <c r="J238" s="312"/>
      <c r="K238" s="312"/>
      <c r="L238" s="313"/>
      <c r="M238" s="80"/>
      <c r="N238" s="228"/>
      <c r="O238" s="4"/>
    </row>
    <row r="239" spans="2:15" x14ac:dyDescent="0.2">
      <c r="B239" s="230"/>
      <c r="C239" s="118"/>
      <c r="D239" s="118"/>
      <c r="E239" s="118"/>
      <c r="F239" s="118"/>
      <c r="G239" s="118"/>
      <c r="H239" s="118"/>
      <c r="I239" s="118"/>
      <c r="J239" s="118"/>
      <c r="K239" s="118"/>
      <c r="L239" s="118"/>
      <c r="M239" s="80"/>
      <c r="N239" s="228"/>
      <c r="O239" s="4"/>
    </row>
    <row r="240" spans="2:15" ht="15.75" x14ac:dyDescent="0.25">
      <c r="B240" s="230"/>
      <c r="C240" s="113" t="s">
        <v>403</v>
      </c>
      <c r="D240" s="115"/>
      <c r="E240" s="115"/>
      <c r="F240" s="115"/>
      <c r="G240" s="162"/>
      <c r="H240" s="115"/>
      <c r="I240" s="115"/>
      <c r="J240" s="197" t="s">
        <v>472</v>
      </c>
      <c r="K240" s="329"/>
      <c r="L240" s="329"/>
      <c r="M240" s="115"/>
      <c r="N240" s="239"/>
      <c r="O240" s="4"/>
    </row>
    <row r="241" spans="2:15" ht="15.75" x14ac:dyDescent="0.25">
      <c r="B241" s="230"/>
      <c r="C241" s="179"/>
      <c r="D241" s="180"/>
      <c r="E241" s="180"/>
      <c r="F241" s="180"/>
      <c r="G241" s="181"/>
      <c r="H241" s="180"/>
      <c r="I241" s="180"/>
      <c r="J241" s="180"/>
      <c r="K241" s="180"/>
      <c r="L241" s="180"/>
      <c r="M241" s="180"/>
      <c r="N241" s="239"/>
      <c r="O241" s="4"/>
    </row>
    <row r="242" spans="2:15" x14ac:dyDescent="0.2">
      <c r="B242" s="230"/>
      <c r="C242" s="182" t="s">
        <v>404</v>
      </c>
      <c r="D242" s="180"/>
      <c r="E242" s="180"/>
      <c r="F242" s="180"/>
      <c r="G242" s="181" t="s">
        <v>333</v>
      </c>
      <c r="H242" s="180"/>
      <c r="I242" s="180"/>
      <c r="J242" s="180"/>
      <c r="K242" s="180"/>
      <c r="L242" s="180"/>
      <c r="M242" s="180"/>
      <c r="N242" s="239"/>
      <c r="O242" s="4"/>
    </row>
    <row r="243" spans="2:15" x14ac:dyDescent="0.2">
      <c r="B243" s="227"/>
      <c r="C243" s="79" t="s">
        <v>392</v>
      </c>
      <c r="D243" s="79"/>
      <c r="E243" s="79"/>
      <c r="F243" s="79"/>
      <c r="G243" s="79"/>
      <c r="H243" s="79"/>
      <c r="I243" s="79"/>
      <c r="J243" s="79"/>
      <c r="K243" s="79"/>
      <c r="L243" s="79"/>
      <c r="M243" s="79"/>
      <c r="N243" s="235"/>
      <c r="O243" s="4"/>
    </row>
    <row r="244" spans="2:15" x14ac:dyDescent="0.2">
      <c r="B244" s="227"/>
      <c r="C244" s="79" t="s">
        <v>271</v>
      </c>
      <c r="D244" s="79"/>
      <c r="E244" s="79"/>
      <c r="F244" s="79"/>
      <c r="G244" s="79"/>
      <c r="H244" s="79"/>
      <c r="I244" s="79"/>
      <c r="J244" s="79"/>
      <c r="K244" s="79"/>
      <c r="L244" s="79"/>
      <c r="M244" s="79"/>
      <c r="N244" s="235"/>
      <c r="O244" s="4"/>
    </row>
    <row r="245" spans="2:15" x14ac:dyDescent="0.2">
      <c r="B245" s="227"/>
      <c r="C245" s="79" t="s">
        <v>383</v>
      </c>
      <c r="D245" s="79"/>
      <c r="E245" s="79"/>
      <c r="F245" s="79"/>
      <c r="G245" s="79"/>
      <c r="H245" s="79"/>
      <c r="I245" s="79"/>
      <c r="J245" s="79"/>
      <c r="K245" s="79"/>
      <c r="L245" s="79"/>
      <c r="M245" s="79"/>
      <c r="N245" s="235"/>
      <c r="O245" s="4"/>
    </row>
    <row r="246" spans="2:15" x14ac:dyDescent="0.2">
      <c r="B246" s="227"/>
      <c r="C246" s="117" t="s">
        <v>464</v>
      </c>
      <c r="D246" s="79"/>
      <c r="E246" s="79"/>
      <c r="F246" s="79"/>
      <c r="G246" s="79"/>
      <c r="H246" s="79"/>
      <c r="I246" s="79"/>
      <c r="J246" s="79"/>
      <c r="K246" s="79"/>
      <c r="L246" s="79"/>
      <c r="M246" s="79"/>
      <c r="N246" s="235"/>
      <c r="O246" s="4"/>
    </row>
    <row r="247" spans="2:15" x14ac:dyDescent="0.2">
      <c r="B247" s="227"/>
      <c r="C247" s="118" t="s">
        <v>391</v>
      </c>
      <c r="D247" s="79"/>
      <c r="E247" s="79"/>
      <c r="F247" s="79"/>
      <c r="G247" s="79"/>
      <c r="H247" s="79"/>
      <c r="I247" s="79"/>
      <c r="J247" s="79"/>
      <c r="K247" s="79"/>
      <c r="L247" s="79"/>
      <c r="M247" s="79"/>
      <c r="N247" s="235"/>
      <c r="O247" s="4"/>
    </row>
    <row r="248" spans="2:15" ht="15.75" x14ac:dyDescent="0.25">
      <c r="B248" s="227"/>
      <c r="C248" s="176"/>
      <c r="D248" s="79"/>
      <c r="E248" s="79"/>
      <c r="F248" s="79"/>
      <c r="G248" s="79"/>
      <c r="H248" s="79"/>
      <c r="I248" s="79"/>
      <c r="J248" s="79"/>
      <c r="K248" s="79"/>
      <c r="L248" s="79"/>
      <c r="M248" s="79"/>
      <c r="N248" s="235"/>
      <c r="O248" s="4"/>
    </row>
    <row r="249" spans="2:15" x14ac:dyDescent="0.2">
      <c r="B249" s="227"/>
      <c r="C249" s="108" t="s">
        <v>463</v>
      </c>
      <c r="D249" s="79"/>
      <c r="E249" s="79"/>
      <c r="F249" s="79"/>
      <c r="G249" s="79"/>
      <c r="H249" s="79"/>
      <c r="I249" s="79"/>
      <c r="J249" s="79"/>
      <c r="K249" s="79"/>
      <c r="L249" s="79"/>
      <c r="M249" s="79"/>
      <c r="N249" s="235"/>
      <c r="O249" s="4"/>
    </row>
    <row r="250" spans="2:15" x14ac:dyDescent="0.2">
      <c r="B250" s="227"/>
      <c r="C250" s="79"/>
      <c r="D250" s="79"/>
      <c r="E250" s="79"/>
      <c r="F250" s="83" t="s">
        <v>187</v>
      </c>
      <c r="G250" s="245" t="s">
        <v>190</v>
      </c>
      <c r="H250" s="83" t="s">
        <v>188</v>
      </c>
      <c r="I250" s="245" t="s">
        <v>190</v>
      </c>
      <c r="J250" s="83" t="s">
        <v>189</v>
      </c>
      <c r="K250" s="245" t="s">
        <v>190</v>
      </c>
      <c r="L250" s="221" t="s">
        <v>44</v>
      </c>
      <c r="M250" s="83" t="s">
        <v>101</v>
      </c>
      <c r="N250" s="233"/>
      <c r="O250" s="4"/>
    </row>
    <row r="251" spans="2:15" x14ac:dyDescent="0.2">
      <c r="B251" s="227"/>
      <c r="C251" s="1"/>
      <c r="D251" s="79"/>
      <c r="E251" s="16" t="s">
        <v>191</v>
      </c>
      <c r="F251" s="33"/>
      <c r="G251" s="84" t="str">
        <f>IF(F251&lt;&gt;"",F251-F252,"")</f>
        <v/>
      </c>
      <c r="H251" s="33"/>
      <c r="I251" s="84" t="str">
        <f>IF(H251&lt;&gt;"",H251-H252,"")</f>
        <v/>
      </c>
      <c r="J251" s="33"/>
      <c r="K251" s="84" t="str">
        <f>IF(J251&lt;&gt;"",J251-J252,"")</f>
        <v/>
      </c>
      <c r="L251" s="84">
        <v>0.2</v>
      </c>
      <c r="M251" s="105" t="str">
        <f>IF(OR(G251="",I251="",K251=""),"",IF(MAX(ABS(G251),ABS(I251),ABS(K251))&lt;=L251,"PASS","FAIL"))</f>
        <v/>
      </c>
      <c r="N251" s="236"/>
      <c r="O251" s="4"/>
    </row>
    <row r="252" spans="2:15" x14ac:dyDescent="0.2">
      <c r="B252" s="227"/>
      <c r="C252" s="79"/>
      <c r="D252" s="79"/>
      <c r="E252" s="116"/>
      <c r="F252" s="87" t="str">
        <f>IF(H12="","",HLOOKUP(H12,Data!B61:G65,2,FALSE))</f>
        <v/>
      </c>
      <c r="G252" s="79"/>
      <c r="H252" s="87" t="str">
        <f>IF(H12="","",HLOOKUP(H12,Data!B61:G65,3,FALSE))</f>
        <v/>
      </c>
      <c r="I252" s="79"/>
      <c r="J252" s="87" t="str">
        <f>IF(H12="","",HLOOKUP(H12,Data!B61:G65,4,FALSE))</f>
        <v/>
      </c>
      <c r="K252" s="79"/>
      <c r="L252" s="79"/>
      <c r="M252" s="87"/>
      <c r="N252" s="246"/>
      <c r="O252" s="4"/>
    </row>
    <row r="253" spans="2:15" x14ac:dyDescent="0.2">
      <c r="B253" s="227"/>
      <c r="C253" s="108" t="s">
        <v>465</v>
      </c>
      <c r="D253" s="79"/>
      <c r="E253" s="79"/>
      <c r="F253" s="79"/>
      <c r="G253" s="79"/>
      <c r="H253" s="79"/>
      <c r="I253" s="79"/>
      <c r="J253" s="79"/>
      <c r="K253" s="79"/>
      <c r="L253" s="79"/>
      <c r="M253" s="79"/>
      <c r="N253" s="235"/>
      <c r="O253" s="4"/>
    </row>
    <row r="254" spans="2:15" x14ac:dyDescent="0.2">
      <c r="B254" s="227"/>
      <c r="C254" s="79"/>
      <c r="D254" s="79"/>
      <c r="E254" s="79"/>
      <c r="F254" s="83" t="s">
        <v>187</v>
      </c>
      <c r="G254" s="83" t="s">
        <v>188</v>
      </c>
      <c r="H254" s="83" t="s">
        <v>189</v>
      </c>
      <c r="I254" s="83" t="s">
        <v>44</v>
      </c>
      <c r="J254" s="83" t="s">
        <v>101</v>
      </c>
      <c r="K254" s="79"/>
      <c r="L254" s="79"/>
      <c r="M254" s="79"/>
      <c r="N254" s="235"/>
      <c r="O254" s="4"/>
    </row>
    <row r="255" spans="2:15" x14ac:dyDescent="0.2">
      <c r="B255" s="227"/>
      <c r="C255" s="1"/>
      <c r="D255" s="79"/>
      <c r="E255" s="16" t="s">
        <v>192</v>
      </c>
      <c r="F255" s="33"/>
      <c r="G255" s="33"/>
      <c r="H255" s="33"/>
      <c r="I255" s="84">
        <v>0.2</v>
      </c>
      <c r="J255" s="105" t="str">
        <f>IF(OR(F255="",G255="",H255=""),"",IF(MAX(ABS(F255),ABS(G255),ABS(H255))&lt;=I255,"PASS","FAIL"))</f>
        <v/>
      </c>
      <c r="K255" s="79"/>
      <c r="L255" s="79"/>
      <c r="M255" s="79"/>
      <c r="N255" s="235"/>
      <c r="O255" s="4"/>
    </row>
    <row r="256" spans="2:15" x14ac:dyDescent="0.2">
      <c r="B256" s="227"/>
      <c r="C256" s="79"/>
      <c r="D256" s="79"/>
      <c r="E256" s="79"/>
      <c r="F256" s="79"/>
      <c r="G256" s="79"/>
      <c r="H256" s="79"/>
      <c r="I256" s="79"/>
      <c r="J256" s="79"/>
      <c r="K256" s="79"/>
      <c r="L256" s="79"/>
      <c r="M256" s="79"/>
      <c r="N256" s="235"/>
      <c r="O256" s="4"/>
    </row>
    <row r="257" spans="2:16" x14ac:dyDescent="0.2">
      <c r="B257" s="227"/>
      <c r="C257" s="108" t="s">
        <v>193</v>
      </c>
      <c r="D257" s="79"/>
      <c r="E257" s="79"/>
      <c r="F257" s="79"/>
      <c r="G257" s="79"/>
      <c r="H257" s="79"/>
      <c r="I257" s="79"/>
      <c r="J257" s="79"/>
      <c r="K257" s="79"/>
      <c r="L257" s="79"/>
      <c r="M257" s="79"/>
      <c r="N257" s="235"/>
      <c r="O257" s="4"/>
    </row>
    <row r="258" spans="2:16" x14ac:dyDescent="0.2">
      <c r="B258" s="227"/>
      <c r="C258" s="79"/>
      <c r="D258" s="79"/>
      <c r="E258" s="79"/>
      <c r="F258" s="83" t="s">
        <v>187</v>
      </c>
      <c r="G258" s="83" t="s">
        <v>188</v>
      </c>
      <c r="H258" s="83" t="s">
        <v>189</v>
      </c>
      <c r="I258" s="83" t="s">
        <v>44</v>
      </c>
      <c r="J258" s="83" t="s">
        <v>101</v>
      </c>
      <c r="K258" s="79"/>
      <c r="L258" s="79"/>
      <c r="M258" s="79"/>
      <c r="N258" s="235"/>
      <c r="O258" s="4"/>
    </row>
    <row r="259" spans="2:16" x14ac:dyDescent="0.2">
      <c r="B259" s="227"/>
      <c r="C259" s="1"/>
      <c r="D259" s="79"/>
      <c r="E259" s="16" t="s">
        <v>192</v>
      </c>
      <c r="F259" s="33"/>
      <c r="G259" s="33"/>
      <c r="H259" s="33"/>
      <c r="I259" s="84">
        <v>0.2</v>
      </c>
      <c r="J259" s="105" t="str">
        <f>IF(OR(F259="",G259="",H259=""),"",IF(MAX(ABS(F259),ABS(G259),ABS(H259))&lt;=I259,"PASS","FAIL"))</f>
        <v/>
      </c>
      <c r="K259" s="79"/>
      <c r="L259" s="79"/>
      <c r="M259" s="79"/>
      <c r="N259" s="235"/>
      <c r="O259" s="4"/>
    </row>
    <row r="260" spans="2:16" x14ac:dyDescent="0.2">
      <c r="B260" s="227"/>
      <c r="C260" s="79"/>
      <c r="D260" s="79"/>
      <c r="E260" s="79"/>
      <c r="F260" s="79"/>
      <c r="G260" s="79"/>
      <c r="H260" s="79"/>
      <c r="I260" s="79"/>
      <c r="J260" s="79"/>
      <c r="K260" s="79"/>
      <c r="L260" s="79"/>
      <c r="M260" s="79"/>
      <c r="N260" s="235"/>
      <c r="O260" s="4"/>
    </row>
    <row r="261" spans="2:16" x14ac:dyDescent="0.2">
      <c r="B261" s="227"/>
      <c r="C261" s="108" t="s">
        <v>366</v>
      </c>
      <c r="D261" s="79"/>
      <c r="E261" s="79"/>
      <c r="F261" s="79"/>
      <c r="G261" s="79"/>
      <c r="H261" s="79"/>
      <c r="I261" s="79"/>
      <c r="J261" s="79"/>
      <c r="K261" s="79"/>
      <c r="L261" s="79"/>
      <c r="M261" s="79"/>
      <c r="N261" s="235"/>
      <c r="O261" s="4"/>
    </row>
    <row r="262" spans="2:16" x14ac:dyDescent="0.2">
      <c r="B262" s="227"/>
      <c r="C262" s="79"/>
      <c r="D262" s="79"/>
      <c r="E262" s="79"/>
      <c r="F262" s="83" t="s">
        <v>187</v>
      </c>
      <c r="G262" s="83" t="s">
        <v>188</v>
      </c>
      <c r="H262" s="83" t="s">
        <v>189</v>
      </c>
      <c r="I262" s="83" t="s">
        <v>44</v>
      </c>
      <c r="J262" s="83" t="s">
        <v>101</v>
      </c>
      <c r="K262" s="79"/>
      <c r="L262" s="79"/>
      <c r="M262" s="79"/>
      <c r="N262" s="235"/>
      <c r="O262" s="4"/>
    </row>
    <row r="263" spans="2:16" x14ac:dyDescent="0.2">
      <c r="B263" s="227"/>
      <c r="C263" s="1"/>
      <c r="D263" s="79"/>
      <c r="E263" s="16" t="s">
        <v>192</v>
      </c>
      <c r="F263" s="33"/>
      <c r="G263" s="33"/>
      <c r="H263" s="33"/>
      <c r="I263" s="84">
        <v>0.2</v>
      </c>
      <c r="J263" s="105" t="str">
        <f>IF(OR(F263="",G263="",H263=""),"",IF(MAX(ABS(F263),ABS(G263),ABS(H263))&lt;=I263,"PASS","FAIL"))</f>
        <v/>
      </c>
      <c r="K263" s="79"/>
      <c r="L263" s="79"/>
      <c r="M263" s="79"/>
      <c r="N263" s="235"/>
      <c r="O263" s="4"/>
    </row>
    <row r="264" spans="2:16" x14ac:dyDescent="0.2">
      <c r="B264" s="227"/>
      <c r="C264" s="79"/>
      <c r="D264" s="79"/>
      <c r="E264" s="79"/>
      <c r="F264" s="79"/>
      <c r="G264" s="79"/>
      <c r="H264" s="79"/>
      <c r="I264" s="79"/>
      <c r="J264" s="79"/>
      <c r="K264" s="79"/>
      <c r="L264" s="79"/>
      <c r="M264" s="79"/>
      <c r="N264" s="235"/>
      <c r="O264" s="4"/>
      <c r="P264" s="96"/>
    </row>
    <row r="265" spans="2:16" x14ac:dyDescent="0.2">
      <c r="B265" s="227"/>
      <c r="C265" s="108" t="s">
        <v>194</v>
      </c>
      <c r="D265" s="79"/>
      <c r="E265" s="79"/>
      <c r="F265" s="79"/>
      <c r="G265" s="79"/>
      <c r="H265" s="79"/>
      <c r="I265" s="79"/>
      <c r="J265" s="79"/>
      <c r="K265" s="79"/>
      <c r="L265" s="79"/>
      <c r="M265" s="79"/>
      <c r="N265" s="235"/>
      <c r="O265" s="4"/>
      <c r="P265" s="96"/>
    </row>
    <row r="266" spans="2:16" x14ac:dyDescent="0.2">
      <c r="B266" s="227"/>
      <c r="C266" s="79"/>
      <c r="D266" s="79"/>
      <c r="E266" s="79"/>
      <c r="F266" s="83" t="s">
        <v>187</v>
      </c>
      <c r="G266" s="83" t="s">
        <v>188</v>
      </c>
      <c r="H266" s="83" t="s">
        <v>189</v>
      </c>
      <c r="I266" s="83" t="s">
        <v>44</v>
      </c>
      <c r="J266" s="83" t="s">
        <v>101</v>
      </c>
      <c r="K266" s="79"/>
      <c r="L266" s="79"/>
      <c r="M266" s="79"/>
      <c r="N266" s="235"/>
    </row>
    <row r="267" spans="2:16" x14ac:dyDescent="0.2">
      <c r="B267" s="227"/>
      <c r="C267" s="1"/>
      <c r="D267" s="79"/>
      <c r="E267" s="16" t="s">
        <v>192</v>
      </c>
      <c r="F267" s="164"/>
      <c r="G267" s="33"/>
      <c r="H267" s="119" t="s">
        <v>166</v>
      </c>
      <c r="I267" s="84">
        <v>0.2</v>
      </c>
      <c r="J267" s="105" t="str">
        <f>IF(OR(F267="",G267=""),"",IF(MAX(ABS(F267),ABS(G267))&lt;=I267,"PASS","FAIL"))</f>
        <v/>
      </c>
      <c r="K267" s="79"/>
      <c r="L267" s="79"/>
      <c r="M267" s="79"/>
      <c r="N267" s="235"/>
      <c r="P267" s="96"/>
    </row>
    <row r="268" spans="2:16" x14ac:dyDescent="0.2">
      <c r="B268" s="227"/>
      <c r="C268" s="79"/>
      <c r="D268" s="79"/>
      <c r="E268" s="79"/>
      <c r="F268" s="79"/>
      <c r="G268" s="79"/>
      <c r="H268" s="79"/>
      <c r="I268" s="79"/>
      <c r="J268" s="79"/>
      <c r="K268" s="79"/>
      <c r="L268" s="79"/>
      <c r="M268" s="79"/>
      <c r="N268" s="235"/>
      <c r="P268" s="96"/>
    </row>
    <row r="269" spans="2:16" x14ac:dyDescent="0.2">
      <c r="B269" s="227"/>
      <c r="C269" s="108" t="s">
        <v>195</v>
      </c>
      <c r="D269" s="79"/>
      <c r="E269" s="79"/>
      <c r="F269" s="79"/>
      <c r="G269" s="79"/>
      <c r="H269" s="79"/>
      <c r="I269" s="79"/>
      <c r="J269" s="79"/>
      <c r="K269" s="79"/>
      <c r="L269" s="79"/>
      <c r="M269" s="79"/>
      <c r="N269" s="235"/>
    </row>
    <row r="270" spans="2:16" x14ac:dyDescent="0.2">
      <c r="B270" s="227"/>
      <c r="C270" s="79"/>
      <c r="D270" s="79"/>
      <c r="E270" s="79"/>
      <c r="F270" s="83" t="s">
        <v>187</v>
      </c>
      <c r="G270" s="83" t="s">
        <v>188</v>
      </c>
      <c r="H270" s="83" t="s">
        <v>189</v>
      </c>
      <c r="I270" s="83" t="s">
        <v>44</v>
      </c>
      <c r="J270" s="83" t="s">
        <v>101</v>
      </c>
      <c r="K270" s="79"/>
      <c r="L270" s="79"/>
      <c r="M270" s="79"/>
      <c r="N270" s="235"/>
      <c r="P270" s="96"/>
    </row>
    <row r="271" spans="2:16" x14ac:dyDescent="0.2">
      <c r="B271" s="227"/>
      <c r="C271" s="1"/>
      <c r="D271" s="79"/>
      <c r="E271" s="16" t="s">
        <v>192</v>
      </c>
      <c r="F271" s="119" t="s">
        <v>166</v>
      </c>
      <c r="G271" s="33"/>
      <c r="H271" s="33"/>
      <c r="I271" s="84">
        <v>0.2</v>
      </c>
      <c r="J271" s="105" t="str">
        <f>IF(OR(G271="",H271=""),"",IF(MAX(ABS(G271),ABS(H271))&lt;=I271,"PASS","FAIL"))</f>
        <v/>
      </c>
      <c r="K271" s="79"/>
      <c r="L271" s="79"/>
      <c r="M271" s="79"/>
      <c r="N271" s="235"/>
    </row>
    <row r="272" spans="2:16" x14ac:dyDescent="0.2">
      <c r="B272" s="227"/>
      <c r="C272" s="79"/>
      <c r="D272" s="79"/>
      <c r="E272" s="79"/>
      <c r="F272" s="79"/>
      <c r="G272" s="79"/>
      <c r="H272" s="79"/>
      <c r="I272" s="79"/>
      <c r="J272" s="79"/>
      <c r="K272" s="79"/>
      <c r="L272" s="79"/>
      <c r="M272" s="79"/>
      <c r="N272" s="235"/>
    </row>
    <row r="273" spans="2:16" ht="15.75" x14ac:dyDescent="0.25">
      <c r="B273" s="230"/>
      <c r="C273" s="113" t="s">
        <v>405</v>
      </c>
      <c r="D273" s="115"/>
      <c r="E273" s="115"/>
      <c r="F273" s="115"/>
      <c r="G273" s="162"/>
      <c r="H273" s="162"/>
      <c r="I273" s="115"/>
      <c r="J273" s="197" t="s">
        <v>472</v>
      </c>
      <c r="K273" s="329"/>
      <c r="L273" s="329"/>
      <c r="M273" s="115"/>
      <c r="N273" s="239"/>
    </row>
    <row r="274" spans="2:16" ht="15.75" x14ac:dyDescent="0.25">
      <c r="B274" s="230"/>
      <c r="C274" s="179"/>
      <c r="D274" s="180"/>
      <c r="E274" s="180"/>
      <c r="F274" s="180"/>
      <c r="G274" s="181"/>
      <c r="H274" s="181"/>
      <c r="I274" s="180"/>
      <c r="J274" s="180"/>
      <c r="K274" s="180"/>
      <c r="L274" s="180"/>
      <c r="M274" s="180"/>
      <c r="N274" s="239"/>
    </row>
    <row r="275" spans="2:16" x14ac:dyDescent="0.2">
      <c r="B275" s="230"/>
      <c r="C275" s="182" t="s">
        <v>406</v>
      </c>
      <c r="D275" s="180"/>
      <c r="E275" s="180"/>
      <c r="F275" s="180"/>
      <c r="G275" s="181" t="s">
        <v>334</v>
      </c>
      <c r="H275" s="181"/>
      <c r="I275" s="180"/>
      <c r="J275" s="180"/>
      <c r="K275" s="180"/>
      <c r="L275" s="180"/>
      <c r="M275" s="180"/>
      <c r="N275" s="239"/>
    </row>
    <row r="276" spans="2:16" x14ac:dyDescent="0.2">
      <c r="B276" s="227"/>
      <c r="C276" s="79" t="s">
        <v>196</v>
      </c>
      <c r="D276" s="79"/>
      <c r="E276" s="79"/>
      <c r="F276" s="79"/>
      <c r="G276" s="79"/>
      <c r="H276" s="79"/>
      <c r="I276" s="79"/>
      <c r="J276" s="79"/>
      <c r="K276" s="79"/>
      <c r="L276" s="79"/>
      <c r="M276" s="79"/>
      <c r="N276" s="235"/>
    </row>
    <row r="277" spans="2:16" x14ac:dyDescent="0.2">
      <c r="B277" s="227"/>
      <c r="C277" s="79" t="s">
        <v>271</v>
      </c>
      <c r="D277" s="79"/>
      <c r="E277" s="79"/>
      <c r="F277" s="79"/>
      <c r="G277" s="79"/>
      <c r="H277" s="79"/>
      <c r="I277" s="79"/>
      <c r="J277" s="79"/>
      <c r="K277" s="79"/>
      <c r="L277" s="79"/>
      <c r="M277" s="79"/>
      <c r="N277" s="235"/>
      <c r="P277" s="268" t="s">
        <v>498</v>
      </c>
    </row>
    <row r="278" spans="2:16" x14ac:dyDescent="0.2">
      <c r="B278" s="227"/>
      <c r="C278" s="79" t="s">
        <v>267</v>
      </c>
      <c r="D278" s="79"/>
      <c r="E278" s="79"/>
      <c r="F278" s="79"/>
      <c r="G278" s="79"/>
      <c r="H278" s="79"/>
      <c r="I278" s="79"/>
      <c r="J278" s="79"/>
      <c r="K278" s="79"/>
      <c r="L278" s="79"/>
      <c r="M278" s="79"/>
      <c r="N278" s="235"/>
    </row>
    <row r="279" spans="2:16" x14ac:dyDescent="0.2">
      <c r="B279" s="227"/>
      <c r="C279" s="79" t="s">
        <v>443</v>
      </c>
      <c r="D279" s="79"/>
      <c r="E279" s="79"/>
      <c r="F279" s="79"/>
      <c r="G279" s="79"/>
      <c r="H279" s="79"/>
      <c r="I279" s="79"/>
      <c r="J279" s="79"/>
      <c r="K279" s="79"/>
      <c r="L279" s="79"/>
      <c r="M279" s="79"/>
      <c r="N279" s="235"/>
    </row>
    <row r="280" spans="2:16" x14ac:dyDescent="0.2">
      <c r="B280" s="227"/>
      <c r="C280" s="79"/>
      <c r="D280" s="79"/>
      <c r="E280" s="79"/>
      <c r="F280" s="79"/>
      <c r="G280" s="79"/>
      <c r="H280" s="79"/>
      <c r="I280" s="79"/>
      <c r="J280" s="79"/>
      <c r="K280" s="79"/>
      <c r="L280" s="79"/>
      <c r="M280" s="79"/>
      <c r="N280" s="235"/>
    </row>
    <row r="281" spans="2:16" x14ac:dyDescent="0.2">
      <c r="B281" s="227"/>
      <c r="C281" s="79"/>
      <c r="D281" s="79"/>
      <c r="E281" s="79"/>
      <c r="F281" s="83" t="s">
        <v>66</v>
      </c>
      <c r="G281" s="83" t="s">
        <v>44</v>
      </c>
      <c r="H281" s="79"/>
      <c r="I281" s="79"/>
      <c r="J281" s="79"/>
      <c r="K281" s="79"/>
      <c r="L281" s="79"/>
      <c r="M281" s="79"/>
      <c r="N281" s="235"/>
    </row>
    <row r="282" spans="2:16" x14ac:dyDescent="0.2">
      <c r="B282" s="227"/>
      <c r="C282" s="80"/>
      <c r="D282" s="120" t="s">
        <v>198</v>
      </c>
      <c r="E282" s="33"/>
      <c r="F282" s="50">
        <v>1.6</v>
      </c>
      <c r="G282" s="50">
        <v>0.2</v>
      </c>
      <c r="H282" s="105" t="str">
        <f>IF(E282="","",IF(ABS(E282-F282)&lt;=G282,"PASS","FAIL"))</f>
        <v/>
      </c>
      <c r="I282" s="79"/>
      <c r="J282" s="79"/>
      <c r="K282" s="79"/>
      <c r="L282" s="79"/>
      <c r="M282" s="79"/>
      <c r="N282" s="235"/>
    </row>
    <row r="283" spans="2:16" x14ac:dyDescent="0.2">
      <c r="B283" s="227"/>
      <c r="C283" s="80"/>
      <c r="D283" s="120" t="s">
        <v>197</v>
      </c>
      <c r="E283" s="33"/>
      <c r="F283" s="50">
        <v>0.8</v>
      </c>
      <c r="G283" s="50">
        <v>0.2</v>
      </c>
      <c r="H283" s="105" t="str">
        <f>IF(E283="","",IF(ABS(E283-F283)&lt;=G283,"PASS","FAIL"))</f>
        <v/>
      </c>
      <c r="I283" s="79"/>
      <c r="J283" s="79"/>
      <c r="K283" s="79"/>
      <c r="L283" s="79"/>
      <c r="M283" s="79"/>
      <c r="N283" s="235"/>
    </row>
    <row r="284" spans="2:16" x14ac:dyDescent="0.2">
      <c r="B284" s="227"/>
      <c r="C284" s="80"/>
      <c r="D284" s="120" t="s">
        <v>199</v>
      </c>
      <c r="E284" s="33"/>
      <c r="F284" s="50">
        <v>5.0999999999999996</v>
      </c>
      <c r="G284" s="50">
        <v>0.2</v>
      </c>
      <c r="H284" s="105" t="str">
        <f>IF(E284="","",IF(ABS(E284-F284)&lt;=G284,"PASS","FAIL"))</f>
        <v/>
      </c>
      <c r="I284" s="15" t="s">
        <v>367</v>
      </c>
      <c r="J284" s="79"/>
      <c r="K284" s="79"/>
      <c r="L284" s="79"/>
      <c r="M284" s="79"/>
      <c r="N284" s="235"/>
    </row>
    <row r="285" spans="2:16" x14ac:dyDescent="0.2">
      <c r="B285" s="227"/>
      <c r="C285" s="80"/>
      <c r="D285" s="120" t="s">
        <v>202</v>
      </c>
      <c r="E285" s="33"/>
      <c r="F285" s="50">
        <v>0.17</v>
      </c>
      <c r="G285" s="50">
        <v>0.02</v>
      </c>
      <c r="H285" s="105" t="str">
        <f>IF(E285="","",IF(ABS(E285-F285)&lt;=G285,"PASS","FAIL"))</f>
        <v/>
      </c>
      <c r="I285" s="79"/>
      <c r="J285" s="79"/>
      <c r="K285" s="79"/>
      <c r="L285" s="79"/>
      <c r="M285" s="79"/>
      <c r="N285" s="235"/>
    </row>
    <row r="286" spans="2:16" x14ac:dyDescent="0.2">
      <c r="B286" s="227"/>
      <c r="C286" s="118"/>
      <c r="D286" s="118"/>
      <c r="E286" s="79"/>
      <c r="F286" s="79"/>
      <c r="G286" s="83"/>
      <c r="H286" s="107"/>
      <c r="I286" s="79"/>
      <c r="J286" s="79"/>
      <c r="K286" s="79"/>
      <c r="L286" s="79"/>
      <c r="M286" s="79"/>
      <c r="N286" s="235"/>
    </row>
    <row r="287" spans="2:16" x14ac:dyDescent="0.2">
      <c r="B287" s="227"/>
      <c r="C287" s="79"/>
      <c r="D287" s="16" t="s">
        <v>200</v>
      </c>
      <c r="E287" s="164"/>
      <c r="F287" s="15" t="s">
        <v>218</v>
      </c>
      <c r="G287" s="79"/>
      <c r="H287" s="79"/>
      <c r="I287" s="79"/>
      <c r="J287" s="79"/>
      <c r="K287" s="79"/>
      <c r="L287" s="79"/>
      <c r="M287" s="79"/>
      <c r="N287" s="235"/>
    </row>
    <row r="288" spans="2:16" x14ac:dyDescent="0.2">
      <c r="B288" s="227"/>
      <c r="C288" s="79"/>
      <c r="D288" s="16" t="s">
        <v>201</v>
      </c>
      <c r="E288" s="33"/>
      <c r="F288" s="15" t="s">
        <v>203</v>
      </c>
      <c r="G288" s="79"/>
      <c r="H288" s="79"/>
      <c r="I288" s="79"/>
      <c r="J288" s="79"/>
      <c r="K288" s="79"/>
      <c r="L288" s="79"/>
      <c r="M288" s="79"/>
      <c r="N288" s="235"/>
    </row>
    <row r="289" spans="2:16" x14ac:dyDescent="0.2">
      <c r="B289" s="227"/>
      <c r="C289" s="79"/>
      <c r="D289" s="79"/>
      <c r="E289" s="79"/>
      <c r="F289" s="79"/>
      <c r="G289" s="79"/>
      <c r="H289" s="79"/>
      <c r="I289" s="79"/>
      <c r="J289" s="79"/>
      <c r="K289" s="79"/>
      <c r="L289" s="79"/>
      <c r="M289" s="79"/>
      <c r="N289" s="235"/>
    </row>
    <row r="290" spans="2:16" x14ac:dyDescent="0.2">
      <c r="B290" s="227"/>
      <c r="C290" s="79"/>
      <c r="D290" s="16" t="s">
        <v>97</v>
      </c>
      <c r="E290" s="314"/>
      <c r="F290" s="347"/>
      <c r="G290" s="347"/>
      <c r="H290" s="347"/>
      <c r="I290" s="347"/>
      <c r="J290" s="347"/>
      <c r="K290" s="347"/>
      <c r="L290" s="347"/>
      <c r="M290" s="348"/>
      <c r="N290" s="247"/>
      <c r="O290" s="4"/>
    </row>
    <row r="291" spans="2:16" x14ac:dyDescent="0.2">
      <c r="B291" s="227"/>
      <c r="C291" s="79"/>
      <c r="D291" s="79"/>
      <c r="E291" s="314"/>
      <c r="F291" s="315"/>
      <c r="G291" s="315"/>
      <c r="H291" s="315"/>
      <c r="I291" s="315"/>
      <c r="J291" s="315"/>
      <c r="K291" s="315"/>
      <c r="L291" s="315"/>
      <c r="M291" s="316"/>
      <c r="N291" s="228"/>
      <c r="O291" s="4"/>
    </row>
    <row r="292" spans="2:16" x14ac:dyDescent="0.2">
      <c r="B292" s="227"/>
      <c r="C292" s="79"/>
      <c r="D292" s="79"/>
      <c r="E292" s="79"/>
      <c r="F292" s="79"/>
      <c r="G292" s="79"/>
      <c r="H292" s="79"/>
      <c r="I292" s="79"/>
      <c r="J292" s="79"/>
      <c r="K292" s="79"/>
      <c r="L292" s="79"/>
      <c r="M292" s="79"/>
      <c r="N292" s="235"/>
      <c r="O292" s="4"/>
    </row>
    <row r="293" spans="2:16" ht="15.75" x14ac:dyDescent="0.25">
      <c r="B293" s="230"/>
      <c r="C293" s="113" t="s">
        <v>420</v>
      </c>
      <c r="D293" s="115"/>
      <c r="E293" s="115"/>
      <c r="F293" s="115"/>
      <c r="G293" s="115"/>
      <c r="H293" s="115"/>
      <c r="I293" s="115"/>
      <c r="J293" s="197" t="s">
        <v>472</v>
      </c>
      <c r="K293" s="329"/>
      <c r="L293" s="329"/>
      <c r="M293" s="115"/>
      <c r="N293" s="239"/>
      <c r="O293" s="4"/>
    </row>
    <row r="294" spans="2:16" x14ac:dyDescent="0.2">
      <c r="B294" s="227"/>
      <c r="C294" s="79"/>
      <c r="D294" s="79"/>
      <c r="E294" s="79"/>
      <c r="F294" s="79"/>
      <c r="G294" s="79"/>
      <c r="H294" s="79"/>
      <c r="I294" s="79"/>
      <c r="J294" s="79"/>
      <c r="K294" s="79"/>
      <c r="L294" s="79"/>
      <c r="M294" s="79"/>
      <c r="N294" s="235"/>
      <c r="O294" s="4"/>
    </row>
    <row r="295" spans="2:16" ht="14.25" x14ac:dyDescent="0.2">
      <c r="B295" s="227"/>
      <c r="C295" s="184" t="s">
        <v>418</v>
      </c>
      <c r="D295" s="79"/>
      <c r="E295" s="79"/>
      <c r="F295" s="79"/>
      <c r="G295" s="79"/>
      <c r="H295" s="79"/>
      <c r="I295" s="79"/>
      <c r="J295" s="79"/>
      <c r="K295" s="79"/>
      <c r="L295" s="79"/>
      <c r="M295" s="79"/>
      <c r="N295" s="235"/>
      <c r="O295" s="4"/>
    </row>
    <row r="296" spans="2:16" x14ac:dyDescent="0.2">
      <c r="B296" s="227"/>
      <c r="C296" s="108" t="s">
        <v>407</v>
      </c>
      <c r="D296" s="7"/>
      <c r="E296" s="7"/>
      <c r="F296" s="7"/>
      <c r="G296" s="161" t="s">
        <v>335</v>
      </c>
      <c r="H296" s="7"/>
      <c r="I296" s="7"/>
      <c r="J296" s="7"/>
      <c r="K296" s="7"/>
      <c r="L296" s="7"/>
      <c r="M296" s="7"/>
      <c r="N296" s="228"/>
      <c r="O296" s="4"/>
    </row>
    <row r="297" spans="2:16" x14ac:dyDescent="0.2">
      <c r="B297" s="227"/>
      <c r="C297" s="79" t="s">
        <v>314</v>
      </c>
      <c r="D297" s="7"/>
      <c r="E297" s="7"/>
      <c r="F297" s="7"/>
      <c r="G297" s="7"/>
      <c r="H297" s="7"/>
      <c r="I297" s="7"/>
      <c r="J297" s="7"/>
      <c r="K297" s="7"/>
      <c r="L297" s="7"/>
      <c r="M297" s="7"/>
      <c r="N297" s="228"/>
      <c r="P297" s="96"/>
    </row>
    <row r="298" spans="2:16" x14ac:dyDescent="0.2">
      <c r="B298" s="227"/>
      <c r="C298" s="79" t="s">
        <v>284</v>
      </c>
      <c r="D298" s="7"/>
      <c r="E298" s="7"/>
      <c r="F298" s="7"/>
      <c r="G298" s="7"/>
      <c r="H298" s="7"/>
      <c r="I298" s="7"/>
      <c r="J298" s="7"/>
      <c r="K298" s="7"/>
      <c r="L298" s="7"/>
      <c r="M298" s="7"/>
      <c r="N298" s="228"/>
      <c r="O298" s="4"/>
    </row>
    <row r="299" spans="2:16" x14ac:dyDescent="0.2">
      <c r="B299" s="227"/>
      <c r="C299" s="79" t="s">
        <v>501</v>
      </c>
      <c r="D299" s="7"/>
      <c r="E299" s="7"/>
      <c r="F299" s="7"/>
      <c r="G299" s="7"/>
      <c r="H299" s="7"/>
      <c r="I299" s="7"/>
      <c r="J299" s="7"/>
      <c r="K299" s="7"/>
      <c r="L299" s="7"/>
      <c r="M299" s="7"/>
      <c r="N299" s="228"/>
      <c r="O299" s="4"/>
    </row>
    <row r="300" spans="2:16" x14ac:dyDescent="0.2">
      <c r="B300" s="227"/>
      <c r="C300" s="79" t="s">
        <v>315</v>
      </c>
      <c r="D300" s="7"/>
      <c r="E300" s="7"/>
      <c r="F300" s="7"/>
      <c r="G300" s="7"/>
      <c r="H300" s="7"/>
      <c r="I300" s="7"/>
      <c r="J300" s="7"/>
      <c r="K300" s="7"/>
      <c r="L300" s="7"/>
      <c r="M300" s="7"/>
      <c r="N300" s="228"/>
      <c r="O300" s="4"/>
    </row>
    <row r="301" spans="2:16" x14ac:dyDescent="0.2">
      <c r="B301" s="227"/>
      <c r="C301" s="79" t="s">
        <v>444</v>
      </c>
      <c r="D301" s="7"/>
      <c r="E301" s="7"/>
      <c r="F301" s="7"/>
      <c r="G301" s="7"/>
      <c r="H301" s="7"/>
      <c r="I301" s="7"/>
      <c r="J301" s="7"/>
      <c r="K301" s="7"/>
      <c r="L301" s="7"/>
      <c r="M301" s="7"/>
      <c r="N301" s="228"/>
      <c r="O301" s="4"/>
    </row>
    <row r="302" spans="2:16" x14ac:dyDescent="0.2">
      <c r="B302" s="227"/>
      <c r="C302" s="79"/>
      <c r="D302" s="7"/>
      <c r="E302" s="7"/>
      <c r="F302" s="7"/>
      <c r="G302" s="7"/>
      <c r="H302" s="7"/>
      <c r="I302" s="7"/>
      <c r="J302" s="7"/>
      <c r="K302" s="7"/>
      <c r="L302" s="7"/>
      <c r="M302" s="7"/>
      <c r="N302" s="228"/>
    </row>
    <row r="303" spans="2:16" x14ac:dyDescent="0.2">
      <c r="B303" s="227"/>
      <c r="C303" s="47" t="s">
        <v>205</v>
      </c>
      <c r="D303" s="134" t="s">
        <v>78</v>
      </c>
      <c r="E303" s="134" t="s">
        <v>79</v>
      </c>
      <c r="F303" s="134" t="s">
        <v>80</v>
      </c>
      <c r="G303" s="134" t="s">
        <v>81</v>
      </c>
      <c r="H303" s="134" t="s">
        <v>204</v>
      </c>
      <c r="I303" s="134" t="s">
        <v>90</v>
      </c>
      <c r="J303" s="134" t="s">
        <v>101</v>
      </c>
      <c r="K303" s="83"/>
      <c r="L303" s="83"/>
      <c r="M303" s="83"/>
      <c r="N303" s="233"/>
    </row>
    <row r="304" spans="2:16" x14ac:dyDescent="0.2">
      <c r="B304" s="227"/>
      <c r="C304" s="53" t="s">
        <v>236</v>
      </c>
      <c r="D304" s="53" t="s">
        <v>58</v>
      </c>
      <c r="E304" s="53" t="s">
        <v>58</v>
      </c>
      <c r="F304" s="53" t="s">
        <v>58</v>
      </c>
      <c r="G304" s="53" t="s">
        <v>58</v>
      </c>
      <c r="H304" s="53"/>
      <c r="I304" s="53"/>
      <c r="J304" s="53"/>
      <c r="K304" s="83"/>
      <c r="L304" s="79" t="s">
        <v>462</v>
      </c>
      <c r="M304" s="79"/>
      <c r="N304" s="233"/>
      <c r="O304" s="4"/>
      <c r="P304" s="96"/>
    </row>
    <row r="305" spans="2:16" x14ac:dyDescent="0.2">
      <c r="B305" s="227"/>
      <c r="C305" s="171" t="s">
        <v>425</v>
      </c>
      <c r="D305" s="59"/>
      <c r="E305" s="59"/>
      <c r="F305" s="59"/>
      <c r="G305" s="59"/>
      <c r="H305" s="33"/>
      <c r="I305" s="21"/>
      <c r="J305" s="105" t="str">
        <f t="array" ref="J305">IF(OR(D305:I305=""),"",IF(AND(ABS(D305-D306)&lt;=0.2,ABS(E305-E306)&lt;=0.2,ABS(F305-F306)&lt;=0.2,ABS(G305-G306)&lt;=0.2,H305="PASS",I305="No"),"PASS","FAIL"))</f>
        <v/>
      </c>
      <c r="K305" s="107"/>
      <c r="L305" s="334"/>
      <c r="M305" s="335"/>
      <c r="N305" s="236"/>
      <c r="O305" s="4"/>
      <c r="P305" s="96"/>
    </row>
    <row r="306" spans="2:16" x14ac:dyDescent="0.2">
      <c r="B306" s="227"/>
      <c r="C306" s="248" t="s">
        <v>237</v>
      </c>
      <c r="D306" s="123">
        <v>20</v>
      </c>
      <c r="E306" s="123">
        <v>20</v>
      </c>
      <c r="F306" s="123">
        <v>15</v>
      </c>
      <c r="G306" s="123">
        <v>15</v>
      </c>
      <c r="H306" s="123"/>
      <c r="I306" s="123"/>
      <c r="J306" s="123"/>
      <c r="K306" s="83"/>
      <c r="L306" s="82"/>
      <c r="M306" s="7"/>
      <c r="N306" s="228"/>
      <c r="O306" s="4"/>
      <c r="P306" s="96"/>
    </row>
    <row r="307" spans="2:16" x14ac:dyDescent="0.2">
      <c r="B307" s="227"/>
      <c r="C307" s="79"/>
      <c r="D307" s="7"/>
      <c r="E307" s="7"/>
      <c r="F307" s="7"/>
      <c r="G307" s="7"/>
      <c r="H307" s="7"/>
      <c r="I307" s="7"/>
      <c r="J307" s="7"/>
      <c r="K307" s="7"/>
      <c r="L307" s="7"/>
      <c r="M307" s="7"/>
      <c r="N307" s="228"/>
      <c r="P307" s="96"/>
    </row>
    <row r="308" spans="2:16" x14ac:dyDescent="0.2">
      <c r="B308" s="227"/>
      <c r="C308" s="79" t="s">
        <v>508</v>
      </c>
      <c r="D308" s="7"/>
      <c r="E308" s="7"/>
      <c r="F308" s="344"/>
      <c r="G308" s="345"/>
      <c r="H308" s="345"/>
      <c r="I308" s="345"/>
      <c r="J308" s="345"/>
      <c r="K308" s="345"/>
      <c r="L308" s="346"/>
      <c r="M308" s="7"/>
      <c r="N308" s="228"/>
      <c r="O308" s="4"/>
      <c r="P308" s="96"/>
    </row>
    <row r="309" spans="2:16" x14ac:dyDescent="0.2">
      <c r="B309" s="230"/>
      <c r="C309" s="7"/>
      <c r="D309" s="7"/>
      <c r="E309" s="7"/>
      <c r="F309" s="338"/>
      <c r="G309" s="339"/>
      <c r="H309" s="339"/>
      <c r="I309" s="339"/>
      <c r="J309" s="339"/>
      <c r="K309" s="339"/>
      <c r="L309" s="340"/>
      <c r="M309" s="7"/>
      <c r="N309" s="228"/>
      <c r="O309" s="4"/>
      <c r="P309" s="96"/>
    </row>
    <row r="310" spans="2:16" x14ac:dyDescent="0.2">
      <c r="B310" s="230"/>
      <c r="C310" s="7"/>
      <c r="D310" s="7"/>
      <c r="E310" s="7"/>
      <c r="F310" s="7"/>
      <c r="G310" s="7"/>
      <c r="H310" s="7"/>
      <c r="I310" s="7"/>
      <c r="J310" s="7"/>
      <c r="K310" s="7"/>
      <c r="L310" s="7"/>
      <c r="M310" s="7"/>
      <c r="N310" s="228"/>
      <c r="O310" s="4"/>
    </row>
    <row r="311" spans="2:16" x14ac:dyDescent="0.2">
      <c r="B311" s="227"/>
      <c r="C311" s="108" t="s">
        <v>408</v>
      </c>
      <c r="D311" s="7"/>
      <c r="E311" s="7"/>
      <c r="F311" s="7"/>
      <c r="G311" s="161" t="s">
        <v>335</v>
      </c>
      <c r="H311" s="7"/>
      <c r="I311" s="7"/>
      <c r="J311" s="7"/>
      <c r="K311" s="7"/>
      <c r="L311" s="7"/>
      <c r="M311" s="7"/>
      <c r="N311" s="228"/>
      <c r="P311" s="96"/>
    </row>
    <row r="312" spans="2:16" x14ac:dyDescent="0.2">
      <c r="B312" s="227"/>
      <c r="C312" s="79" t="s">
        <v>346</v>
      </c>
      <c r="D312" s="7"/>
      <c r="E312" s="7"/>
      <c r="F312" s="7"/>
      <c r="G312" s="7"/>
      <c r="H312" s="7"/>
      <c r="I312" s="7"/>
      <c r="J312" s="7"/>
      <c r="K312" s="7"/>
      <c r="L312" s="7"/>
      <c r="M312" s="7"/>
      <c r="N312" s="228"/>
      <c r="P312" s="96"/>
    </row>
    <row r="313" spans="2:16" x14ac:dyDescent="0.2">
      <c r="B313" s="227"/>
      <c r="C313" s="79" t="s">
        <v>345</v>
      </c>
      <c r="D313" s="7"/>
      <c r="E313" s="7"/>
      <c r="F313" s="7"/>
      <c r="G313" s="7"/>
      <c r="H313" s="7"/>
      <c r="I313" s="7"/>
      <c r="J313" s="7"/>
      <c r="K313" s="7"/>
      <c r="L313" s="7"/>
      <c r="M313" s="7"/>
      <c r="N313" s="228"/>
      <c r="O313" s="4"/>
      <c r="P313" s="96"/>
    </row>
    <row r="314" spans="2:16" x14ac:dyDescent="0.2">
      <c r="B314" s="227"/>
      <c r="C314" s="79" t="s">
        <v>347</v>
      </c>
      <c r="D314" s="79"/>
      <c r="E314" s="79"/>
      <c r="F314" s="79"/>
      <c r="G314" s="79"/>
      <c r="H314" s="7"/>
      <c r="I314" s="7"/>
      <c r="J314" s="7"/>
      <c r="K314" s="7"/>
      <c r="L314" s="7"/>
      <c r="M314" s="7"/>
      <c r="N314" s="228"/>
      <c r="O314" s="4"/>
      <c r="P314" s="96"/>
    </row>
    <row r="315" spans="2:16" x14ac:dyDescent="0.2">
      <c r="B315" s="227"/>
      <c r="C315" s="79" t="s">
        <v>344</v>
      </c>
      <c r="D315" s="79"/>
      <c r="E315" s="79"/>
      <c r="F315" s="79"/>
      <c r="G315" s="79"/>
      <c r="H315" s="7"/>
      <c r="I315" s="7"/>
      <c r="J315" s="7"/>
      <c r="K315" s="7"/>
      <c r="L315" s="7"/>
      <c r="M315" s="7"/>
      <c r="N315" s="228"/>
      <c r="O315" s="4"/>
      <c r="P315" s="96"/>
    </row>
    <row r="316" spans="2:16" x14ac:dyDescent="0.2">
      <c r="B316" s="227"/>
      <c r="C316" s="1"/>
      <c r="D316" s="79"/>
      <c r="E316" s="79"/>
      <c r="F316" s="79"/>
      <c r="G316" s="79"/>
      <c r="H316" s="7"/>
      <c r="I316" s="7"/>
      <c r="J316" s="7"/>
      <c r="K316" s="7"/>
      <c r="L316" s="7"/>
      <c r="M316" s="7"/>
      <c r="N316" s="228"/>
      <c r="O316" s="4"/>
    </row>
    <row r="317" spans="2:16" x14ac:dyDescent="0.2">
      <c r="B317" s="227"/>
      <c r="C317" s="47" t="s">
        <v>205</v>
      </c>
      <c r="D317" s="26"/>
      <c r="E317" s="26" t="s">
        <v>103</v>
      </c>
      <c r="F317" s="26" t="s">
        <v>104</v>
      </c>
      <c r="G317" s="26" t="s">
        <v>105</v>
      </c>
      <c r="H317" s="26" t="s">
        <v>71</v>
      </c>
      <c r="I317" s="26" t="s">
        <v>44</v>
      </c>
      <c r="J317" s="7"/>
      <c r="K317" s="7"/>
      <c r="L317" s="7"/>
      <c r="M317" s="7"/>
      <c r="N317" s="228"/>
      <c r="O317" s="4"/>
    </row>
    <row r="318" spans="2:16" x14ac:dyDescent="0.2">
      <c r="B318" s="227"/>
      <c r="C318" s="53" t="s">
        <v>236</v>
      </c>
      <c r="D318" s="29"/>
      <c r="E318" s="53" t="s">
        <v>72</v>
      </c>
      <c r="F318" s="53" t="s">
        <v>72</v>
      </c>
      <c r="G318" s="53" t="s">
        <v>72</v>
      </c>
      <c r="H318" s="53" t="s">
        <v>72</v>
      </c>
      <c r="I318" s="29" t="s">
        <v>72</v>
      </c>
      <c r="J318" s="7"/>
      <c r="K318" s="7"/>
      <c r="L318" s="7"/>
      <c r="M318" s="7"/>
      <c r="N318" s="228"/>
      <c r="O318" s="4"/>
    </row>
    <row r="319" spans="2:16" x14ac:dyDescent="0.2">
      <c r="B319" s="227"/>
      <c r="C319" s="172" t="s">
        <v>425</v>
      </c>
      <c r="D319" s="43" t="s">
        <v>165</v>
      </c>
      <c r="E319" s="59"/>
      <c r="F319" s="59"/>
      <c r="G319" s="59"/>
      <c r="H319" s="59"/>
      <c r="I319" s="35">
        <v>5</v>
      </c>
      <c r="J319" s="36" t="str">
        <f>IF(OR(C319="",E319="",F319="",G319="",H319=""),"",IF(AND(ABS(E319)&lt;=I319,ABS(F319)&lt;=I319,ABS(G319)&lt;=I319,ABS(H319)&lt;=I319),"PASS","FAIL"))</f>
        <v/>
      </c>
      <c r="K319" s="90" t="s">
        <v>170</v>
      </c>
      <c r="L319" s="80"/>
      <c r="M319" s="7"/>
      <c r="N319" s="228"/>
      <c r="O319" s="4"/>
    </row>
    <row r="320" spans="2:16" x14ac:dyDescent="0.2">
      <c r="B320" s="227"/>
      <c r="C320" s="79"/>
      <c r="D320" s="79"/>
      <c r="E320" s="79"/>
      <c r="F320" s="79"/>
      <c r="G320" s="79"/>
      <c r="H320" s="7"/>
      <c r="I320" s="7"/>
      <c r="J320" s="52"/>
      <c r="K320" s="90"/>
      <c r="L320" s="1"/>
      <c r="M320" s="7"/>
      <c r="N320" s="228"/>
      <c r="O320" s="4"/>
    </row>
    <row r="321" spans="2:17" x14ac:dyDescent="0.2">
      <c r="B321" s="227"/>
      <c r="C321" s="108" t="s">
        <v>409</v>
      </c>
      <c r="D321" s="7"/>
      <c r="E321" s="7"/>
      <c r="F321" s="7"/>
      <c r="G321" s="161" t="s">
        <v>335</v>
      </c>
      <c r="H321" s="7"/>
      <c r="I321" s="7"/>
      <c r="J321" s="7"/>
      <c r="K321" s="7"/>
      <c r="L321" s="7"/>
      <c r="M321" s="7"/>
      <c r="N321" s="228"/>
      <c r="O321" s="4"/>
    </row>
    <row r="322" spans="2:17" x14ac:dyDescent="0.2">
      <c r="B322" s="227"/>
      <c r="C322" s="79" t="s">
        <v>275</v>
      </c>
      <c r="D322" s="79"/>
      <c r="E322" s="79"/>
      <c r="F322" s="79"/>
      <c r="G322" s="79"/>
      <c r="H322" s="79"/>
      <c r="I322" s="79"/>
      <c r="J322" s="79"/>
      <c r="K322" s="79"/>
      <c r="L322" s="79" t="s">
        <v>462</v>
      </c>
      <c r="M322" s="79"/>
      <c r="N322" s="235"/>
      <c r="O322" s="4"/>
      <c r="Q322" s="272"/>
    </row>
    <row r="323" spans="2:17" x14ac:dyDescent="0.2">
      <c r="B323" s="227"/>
      <c r="C323" s="79" t="s">
        <v>500</v>
      </c>
      <c r="D323" s="79"/>
      <c r="E323" s="79"/>
      <c r="F323" s="79"/>
      <c r="G323" s="79"/>
      <c r="H323" s="79"/>
      <c r="I323" s="79"/>
      <c r="J323" s="79"/>
      <c r="K323" s="79"/>
      <c r="L323" s="334"/>
      <c r="M323" s="335"/>
      <c r="N323" s="228"/>
      <c r="O323" s="4"/>
      <c r="Q323" s="272"/>
    </row>
    <row r="324" spans="2:17" x14ac:dyDescent="0.2">
      <c r="B324" s="227"/>
      <c r="C324" s="79" t="s">
        <v>502</v>
      </c>
      <c r="D324" s="7"/>
      <c r="E324" s="7"/>
      <c r="F324" s="7"/>
      <c r="G324" s="7"/>
      <c r="H324" s="7"/>
      <c r="I324" s="7"/>
      <c r="J324" s="7"/>
      <c r="K324" s="7"/>
      <c r="L324" s="334"/>
      <c r="M324" s="335"/>
      <c r="N324" s="228"/>
      <c r="O324" s="4"/>
      <c r="Q324" s="272"/>
    </row>
    <row r="325" spans="2:17" x14ac:dyDescent="0.2">
      <c r="B325" s="227"/>
      <c r="C325" s="7"/>
      <c r="D325" s="7"/>
      <c r="E325" s="7"/>
      <c r="F325" s="7"/>
      <c r="G325" s="7"/>
      <c r="H325" s="7"/>
      <c r="I325" s="7"/>
      <c r="J325" s="7"/>
      <c r="K325" s="7"/>
      <c r="L325" s="7"/>
      <c r="M325" s="7"/>
      <c r="N325" s="228"/>
      <c r="O325" s="4"/>
      <c r="Q325" s="272"/>
    </row>
    <row r="326" spans="2:17" x14ac:dyDescent="0.2">
      <c r="B326" s="227"/>
      <c r="C326" s="47" t="s">
        <v>205</v>
      </c>
      <c r="D326" s="47" t="s">
        <v>227</v>
      </c>
      <c r="E326" s="47" t="s">
        <v>348</v>
      </c>
      <c r="F326" s="47" t="s">
        <v>273</v>
      </c>
      <c r="G326" s="47" t="s">
        <v>352</v>
      </c>
      <c r="H326" s="47" t="s">
        <v>351</v>
      </c>
      <c r="I326" s="47" t="s">
        <v>353</v>
      </c>
      <c r="J326" s="47" t="s">
        <v>274</v>
      </c>
      <c r="K326" s="47" t="s">
        <v>354</v>
      </c>
      <c r="L326" s="47" t="s">
        <v>44</v>
      </c>
      <c r="M326" s="107"/>
      <c r="N326" s="236"/>
      <c r="O326" s="4"/>
      <c r="Q326" s="272"/>
    </row>
    <row r="327" spans="2:17" x14ac:dyDescent="0.2">
      <c r="B327" s="227"/>
      <c r="C327" s="53" t="s">
        <v>236</v>
      </c>
      <c r="D327" s="58"/>
      <c r="E327" s="51"/>
      <c r="F327" s="58" t="s">
        <v>350</v>
      </c>
      <c r="G327" s="58" t="s">
        <v>350</v>
      </c>
      <c r="H327" s="58" t="s">
        <v>350</v>
      </c>
      <c r="I327" s="58" t="s">
        <v>350</v>
      </c>
      <c r="J327" s="58"/>
      <c r="K327" s="58"/>
      <c r="L327" s="163">
        <v>0.2</v>
      </c>
      <c r="M327" s="269"/>
      <c r="N327" s="249"/>
      <c r="O327" s="4"/>
      <c r="Q327" s="272"/>
    </row>
    <row r="328" spans="2:17" x14ac:dyDescent="0.2">
      <c r="B328" s="227"/>
      <c r="C328" s="173" t="s">
        <v>425</v>
      </c>
      <c r="D328" s="127" t="s">
        <v>499</v>
      </c>
      <c r="E328" s="127" t="s">
        <v>349</v>
      </c>
      <c r="F328" s="164"/>
      <c r="G328" s="165">
        <f>Data!AA53</f>
        <v>1.8</v>
      </c>
      <c r="H328" s="164"/>
      <c r="I328" s="165">
        <f>Data!AB53</f>
        <v>2.6</v>
      </c>
      <c r="J328" s="112"/>
      <c r="K328" s="127">
        <f>Data!AC53</f>
        <v>20</v>
      </c>
      <c r="L328" s="132" t="str">
        <f>IF(OR(F328="",H328="",J328=""),"",IF(AND(F328&gt;=0.8*G328,H328&gt;=0.8*I328,J328&gt;=0.8*K328),"PASS","FAIL"))</f>
        <v/>
      </c>
      <c r="M328" s="270"/>
      <c r="N328" s="250"/>
      <c r="Q328" s="272"/>
    </row>
    <row r="329" spans="2:17" x14ac:dyDescent="0.2">
      <c r="B329" s="227"/>
      <c r="C329" s="173" t="s">
        <v>368</v>
      </c>
      <c r="D329" s="127" t="s">
        <v>228</v>
      </c>
      <c r="E329" s="127" t="s">
        <v>355</v>
      </c>
      <c r="F329" s="164"/>
      <c r="G329" s="165">
        <v>1.8</v>
      </c>
      <c r="H329" s="164"/>
      <c r="I329" s="165">
        <v>2.7</v>
      </c>
      <c r="J329" s="112"/>
      <c r="K329" s="127">
        <v>13</v>
      </c>
      <c r="L329" s="132" t="str">
        <f>IF(OR(F329="",H329="",J329=""),"",IF(AND(F329&gt;=0.8*G329,H329&gt;=0.8*I329,J329&gt;=0.8*K329),"PASS","FAIL"))</f>
        <v/>
      </c>
      <c r="M329" s="270"/>
      <c r="N329" s="250"/>
      <c r="O329" s="4"/>
      <c r="P329" s="271"/>
      <c r="Q329" s="272"/>
    </row>
    <row r="330" spans="2:17" x14ac:dyDescent="0.2">
      <c r="B330" s="227"/>
      <c r="C330" s="251"/>
      <c r="D330" s="61"/>
      <c r="E330" s="61"/>
      <c r="F330" s="61"/>
      <c r="G330" s="61"/>
      <c r="H330" s="61"/>
      <c r="I330" s="7"/>
      <c r="J330" s="7"/>
      <c r="K330" s="7"/>
      <c r="L330" s="7"/>
      <c r="M330" s="7"/>
      <c r="N330" s="228"/>
      <c r="O330" s="4"/>
      <c r="Q330" s="272"/>
    </row>
    <row r="331" spans="2:17" x14ac:dyDescent="0.2">
      <c r="B331" s="227"/>
      <c r="C331" s="108" t="s">
        <v>410</v>
      </c>
      <c r="D331" s="7"/>
      <c r="E331" s="7"/>
      <c r="F331" s="7"/>
      <c r="G331" s="161" t="s">
        <v>335</v>
      </c>
      <c r="H331" s="7"/>
      <c r="I331" s="7"/>
      <c r="J331" s="7"/>
      <c r="K331" s="7"/>
      <c r="L331" s="7"/>
      <c r="M331" s="7"/>
      <c r="N331" s="228"/>
      <c r="O331" s="4"/>
      <c r="Q331" s="272"/>
    </row>
    <row r="332" spans="2:17" x14ac:dyDescent="0.2">
      <c r="B332" s="227"/>
      <c r="C332" s="79" t="s">
        <v>268</v>
      </c>
      <c r="D332" s="79"/>
      <c r="E332" s="79"/>
      <c r="F332" s="79"/>
      <c r="G332" s="79"/>
      <c r="H332" s="79"/>
      <c r="I332" s="79"/>
      <c r="J332" s="79"/>
      <c r="K332" s="79"/>
      <c r="L332" s="79"/>
      <c r="M332" s="79"/>
      <c r="N332" s="235"/>
      <c r="O332" s="4"/>
      <c r="Q332" s="272"/>
    </row>
    <row r="333" spans="2:17" x14ac:dyDescent="0.2">
      <c r="B333" s="227"/>
      <c r="C333" s="79" t="s">
        <v>509</v>
      </c>
      <c r="D333" s="79"/>
      <c r="E333" s="79"/>
      <c r="F333" s="79"/>
      <c r="G333" s="79"/>
      <c r="H333" s="79"/>
      <c r="I333" s="79"/>
      <c r="J333" s="79"/>
      <c r="K333" s="79"/>
      <c r="L333" s="79"/>
      <c r="M333" s="79"/>
      <c r="N333" s="235"/>
      <c r="Q333" s="272"/>
    </row>
    <row r="334" spans="2:17" x14ac:dyDescent="0.2">
      <c r="B334" s="227"/>
      <c r="C334" s="79"/>
      <c r="D334" s="79"/>
      <c r="E334" s="79"/>
      <c r="F334" s="79"/>
      <c r="G334" s="79"/>
      <c r="H334" s="79"/>
      <c r="I334" s="79"/>
      <c r="J334" s="79"/>
      <c r="K334" s="79"/>
      <c r="L334" s="79"/>
      <c r="M334" s="79"/>
      <c r="N334" s="235"/>
      <c r="Q334" s="272"/>
    </row>
    <row r="335" spans="2:17" x14ac:dyDescent="0.2">
      <c r="B335" s="227"/>
      <c r="C335" s="47" t="s">
        <v>205</v>
      </c>
      <c r="D335" s="47" t="s">
        <v>206</v>
      </c>
      <c r="E335" s="47" t="s">
        <v>66</v>
      </c>
      <c r="F335" s="47" t="s">
        <v>44</v>
      </c>
      <c r="G335" s="47" t="s">
        <v>49</v>
      </c>
      <c r="H335" s="47" t="s">
        <v>66</v>
      </c>
      <c r="I335" s="47" t="s">
        <v>44</v>
      </c>
      <c r="J335" s="41"/>
      <c r="K335" s="41"/>
      <c r="L335" s="41"/>
      <c r="M335" s="41"/>
      <c r="N335" s="232"/>
      <c r="O335" s="4"/>
      <c r="Q335" s="272"/>
    </row>
    <row r="336" spans="2:17" x14ac:dyDescent="0.2">
      <c r="B336" s="227"/>
      <c r="C336" s="53" t="s">
        <v>236</v>
      </c>
      <c r="D336" s="58" t="s">
        <v>238</v>
      </c>
      <c r="E336" s="58" t="s">
        <v>238</v>
      </c>
      <c r="F336" s="58" t="s">
        <v>238</v>
      </c>
      <c r="G336" s="58" t="s">
        <v>251</v>
      </c>
      <c r="H336" s="58" t="s">
        <v>252</v>
      </c>
      <c r="I336" s="58" t="s">
        <v>50</v>
      </c>
      <c r="J336" s="41"/>
      <c r="K336" s="252"/>
      <c r="L336" s="41"/>
      <c r="M336" s="41"/>
      <c r="N336" s="232"/>
      <c r="O336" s="4"/>
    </row>
    <row r="337" spans="2:16" x14ac:dyDescent="0.2">
      <c r="B337" s="227"/>
      <c r="C337" s="171" t="s">
        <v>426</v>
      </c>
      <c r="D337" s="112"/>
      <c r="E337" s="127">
        <v>75</v>
      </c>
      <c r="F337" s="127">
        <v>5</v>
      </c>
      <c r="G337" s="112"/>
      <c r="H337" s="127">
        <f>Data!AG52</f>
        <v>33</v>
      </c>
      <c r="I337" s="127">
        <v>20</v>
      </c>
      <c r="J337" s="183" t="str">
        <f>IF(OR(D337="",G337=""),"",IF(AND(ABS(D337-E337)&lt;=F337,100*ABS(G337-H337)/H337&lt;=I337),"PASS","FAIL"))</f>
        <v/>
      </c>
      <c r="K337" s="79"/>
      <c r="L337" s="107"/>
      <c r="M337" s="107"/>
      <c r="N337" s="236"/>
      <c r="O337" s="4"/>
    </row>
    <row r="338" spans="2:16" x14ac:dyDescent="0.2">
      <c r="B338" s="227"/>
      <c r="C338" s="171" t="s">
        <v>427</v>
      </c>
      <c r="D338" s="112"/>
      <c r="E338" s="127">
        <v>125</v>
      </c>
      <c r="F338" s="127">
        <v>5</v>
      </c>
      <c r="G338" s="112"/>
      <c r="H338" s="127">
        <f>Data!AG53</f>
        <v>89</v>
      </c>
      <c r="I338" s="127">
        <v>20</v>
      </c>
      <c r="J338" s="183" t="str">
        <f>IF(OR(D338="",G338=""),"",IF(AND(ABS(D338-E338)&lt;=F338,100*ABS(G338-H338)/H338&lt;=I338),"PASS","FAIL"))</f>
        <v/>
      </c>
      <c r="K338" s="79"/>
      <c r="L338" s="90"/>
      <c r="M338" s="107"/>
      <c r="N338" s="236"/>
      <c r="O338" s="4"/>
    </row>
    <row r="339" spans="2:16" x14ac:dyDescent="0.2">
      <c r="B339" s="227"/>
      <c r="C339" s="251"/>
      <c r="D339" s="122"/>
      <c r="E339" s="122"/>
      <c r="F339" s="121"/>
      <c r="G339" s="121"/>
      <c r="H339" s="121"/>
      <c r="I339" s="123"/>
      <c r="J339" s="7"/>
      <c r="K339" s="7"/>
      <c r="L339" s="7"/>
      <c r="M339" s="7"/>
      <c r="N339" s="228"/>
    </row>
    <row r="340" spans="2:16" ht="15.75" x14ac:dyDescent="0.25">
      <c r="B340" s="230"/>
      <c r="C340" s="113" t="s">
        <v>419</v>
      </c>
      <c r="D340" s="115"/>
      <c r="E340" s="115"/>
      <c r="F340" s="115"/>
      <c r="G340" s="115"/>
      <c r="H340" s="115"/>
      <c r="I340" s="115"/>
      <c r="J340" s="197" t="s">
        <v>472</v>
      </c>
      <c r="K340" s="329"/>
      <c r="L340" s="329"/>
      <c r="M340" s="115"/>
      <c r="N340" s="239"/>
      <c r="O340" s="4"/>
    </row>
    <row r="341" spans="2:16" ht="15" customHeight="1" x14ac:dyDescent="0.2">
      <c r="B341" s="227"/>
      <c r="C341" s="79"/>
      <c r="D341" s="79"/>
      <c r="E341" s="79"/>
      <c r="F341" s="79"/>
      <c r="G341" s="79"/>
      <c r="H341" s="79"/>
      <c r="I341" s="79"/>
      <c r="J341" s="79"/>
      <c r="K341" s="79"/>
      <c r="L341" s="79"/>
      <c r="M341" s="79"/>
      <c r="N341" s="235"/>
      <c r="O341" s="4"/>
    </row>
    <row r="342" spans="2:16" ht="14.25" x14ac:dyDescent="0.2">
      <c r="B342" s="227"/>
      <c r="C342" s="184" t="s">
        <v>418</v>
      </c>
      <c r="D342" s="79"/>
      <c r="E342" s="79"/>
      <c r="F342" s="79"/>
      <c r="G342" s="79"/>
      <c r="H342" s="79"/>
      <c r="I342" s="79"/>
      <c r="J342" s="79"/>
      <c r="K342" s="79"/>
      <c r="L342" s="79"/>
      <c r="M342" s="79"/>
      <c r="N342" s="235"/>
      <c r="O342" s="4"/>
    </row>
    <row r="343" spans="2:16" x14ac:dyDescent="0.2">
      <c r="B343" s="227"/>
      <c r="C343" s="108" t="s">
        <v>411</v>
      </c>
      <c r="D343" s="7"/>
      <c r="E343" s="7"/>
      <c r="F343" s="7"/>
      <c r="G343" s="161" t="s">
        <v>336</v>
      </c>
      <c r="H343" s="7"/>
      <c r="I343" s="7"/>
      <c r="J343" s="7"/>
      <c r="K343" s="7"/>
      <c r="L343" s="7"/>
      <c r="M343" s="7"/>
      <c r="N343" s="228"/>
      <c r="O343" s="4"/>
    </row>
    <row r="344" spans="2:16" x14ac:dyDescent="0.2">
      <c r="B344" s="227"/>
      <c r="C344" s="79" t="s">
        <v>276</v>
      </c>
      <c r="D344" s="79"/>
      <c r="E344" s="79"/>
      <c r="F344" s="79"/>
      <c r="G344" s="79"/>
      <c r="H344" s="79"/>
      <c r="I344" s="79"/>
      <c r="J344" s="79"/>
      <c r="K344" s="79"/>
      <c r="L344" s="79"/>
      <c r="M344" s="79"/>
      <c r="N344" s="235"/>
      <c r="O344" s="4"/>
    </row>
    <row r="345" spans="2:16" x14ac:dyDescent="0.2">
      <c r="B345" s="227"/>
      <c r="C345" s="79" t="s">
        <v>270</v>
      </c>
      <c r="D345" s="79"/>
      <c r="E345" s="79"/>
      <c r="F345" s="79"/>
      <c r="G345" s="79"/>
      <c r="H345" s="79"/>
      <c r="I345" s="79"/>
      <c r="J345" s="79"/>
      <c r="K345" s="79"/>
      <c r="L345" s="79"/>
      <c r="M345" s="79"/>
      <c r="N345" s="235"/>
      <c r="O345" s="4"/>
      <c r="P345" s="96"/>
    </row>
    <row r="346" spans="2:16" x14ac:dyDescent="0.2">
      <c r="B346" s="227"/>
      <c r="C346" s="79" t="s">
        <v>277</v>
      </c>
      <c r="D346" s="79"/>
      <c r="E346" s="79"/>
      <c r="F346" s="79"/>
      <c r="G346" s="79"/>
      <c r="H346" s="79"/>
      <c r="I346" s="79"/>
      <c r="J346" s="79"/>
      <c r="K346" s="79"/>
      <c r="L346" s="79"/>
      <c r="M346" s="79"/>
      <c r="N346" s="235"/>
      <c r="O346" s="4"/>
      <c r="P346" s="96"/>
    </row>
    <row r="347" spans="2:16" x14ac:dyDescent="0.2">
      <c r="B347" s="227"/>
      <c r="C347" s="79" t="s">
        <v>269</v>
      </c>
      <c r="D347" s="79"/>
      <c r="E347" s="79"/>
      <c r="F347" s="79"/>
      <c r="G347" s="79"/>
      <c r="H347" s="79"/>
      <c r="I347" s="79"/>
      <c r="J347" s="79"/>
      <c r="K347" s="79"/>
      <c r="L347" s="79"/>
      <c r="M347" s="79"/>
      <c r="N347" s="235"/>
      <c r="P347" s="96"/>
    </row>
    <row r="348" spans="2:16" x14ac:dyDescent="0.2">
      <c r="B348" s="227"/>
      <c r="C348" s="79"/>
      <c r="D348" s="79"/>
      <c r="E348" s="79"/>
      <c r="F348" s="79"/>
      <c r="G348" s="79"/>
      <c r="H348" s="79"/>
      <c r="I348" s="79"/>
      <c r="J348" s="79"/>
      <c r="K348" s="79"/>
      <c r="L348" s="79"/>
      <c r="M348" s="79"/>
      <c r="N348" s="235"/>
    </row>
    <row r="349" spans="2:16" x14ac:dyDescent="0.2">
      <c r="B349" s="227"/>
      <c r="C349" s="47" t="s">
        <v>209</v>
      </c>
      <c r="D349" s="47" t="s">
        <v>213</v>
      </c>
      <c r="E349" s="47" t="s">
        <v>216</v>
      </c>
      <c r="F349" s="47" t="s">
        <v>239</v>
      </c>
      <c r="G349" s="47" t="s">
        <v>217</v>
      </c>
      <c r="H349" s="52"/>
      <c r="I349" s="52"/>
      <c r="J349" s="52"/>
      <c r="K349" s="52"/>
      <c r="L349" s="41"/>
      <c r="M349" s="41"/>
      <c r="N349" s="232"/>
      <c r="O349" s="4"/>
    </row>
    <row r="350" spans="2:16" x14ac:dyDescent="0.2">
      <c r="B350" s="227"/>
      <c r="C350" s="124" t="s">
        <v>210</v>
      </c>
      <c r="D350" s="58"/>
      <c r="E350" s="58"/>
      <c r="F350" s="58"/>
      <c r="G350" s="58" t="s">
        <v>101</v>
      </c>
      <c r="H350" s="52"/>
      <c r="I350" s="90" t="s">
        <v>300</v>
      </c>
      <c r="J350" s="52"/>
      <c r="K350" s="52"/>
      <c r="L350" s="41"/>
      <c r="M350" s="41"/>
      <c r="N350" s="232"/>
      <c r="O350" s="4"/>
    </row>
    <row r="351" spans="2:16" x14ac:dyDescent="0.2">
      <c r="B351" s="227"/>
      <c r="C351" s="31" t="s">
        <v>261</v>
      </c>
      <c r="D351" s="31" t="s">
        <v>214</v>
      </c>
      <c r="E351" s="127" t="s">
        <v>214</v>
      </c>
      <c r="F351" s="127" t="s">
        <v>466</v>
      </c>
      <c r="G351" s="133"/>
      <c r="H351" s="130"/>
      <c r="I351" s="341"/>
      <c r="J351" s="342"/>
      <c r="K351" s="342"/>
      <c r="L351" s="342"/>
      <c r="M351" s="343"/>
      <c r="N351" s="228"/>
      <c r="O351" s="4"/>
    </row>
    <row r="352" spans="2:16" x14ac:dyDescent="0.2">
      <c r="B352" s="227"/>
      <c r="C352" s="7"/>
      <c r="D352" s="7"/>
      <c r="E352" s="41"/>
      <c r="F352" s="41"/>
      <c r="G352" s="52"/>
      <c r="H352" s="52"/>
      <c r="I352" s="52"/>
      <c r="J352" s="52"/>
      <c r="K352" s="52"/>
      <c r="L352" s="52"/>
      <c r="M352" s="52"/>
      <c r="N352" s="231"/>
    </row>
    <row r="353" spans="2:16" x14ac:dyDescent="0.2">
      <c r="B353" s="253"/>
      <c r="C353" s="108" t="s">
        <v>412</v>
      </c>
      <c r="D353" s="79"/>
      <c r="E353" s="79"/>
      <c r="F353" s="79"/>
      <c r="G353" s="79"/>
      <c r="H353" s="79"/>
      <c r="I353" s="79"/>
      <c r="J353" s="79"/>
      <c r="K353" s="79"/>
      <c r="L353" s="79"/>
      <c r="M353" s="79"/>
      <c r="N353" s="235"/>
    </row>
    <row r="354" spans="2:16" x14ac:dyDescent="0.2">
      <c r="B354" s="253"/>
      <c r="C354" s="79"/>
      <c r="D354" s="79"/>
      <c r="E354" s="83" t="s">
        <v>253</v>
      </c>
      <c r="F354" s="83" t="s">
        <v>285</v>
      </c>
      <c r="G354" s="83" t="s">
        <v>286</v>
      </c>
      <c r="H354" s="79"/>
      <c r="I354" s="79"/>
      <c r="J354" s="79"/>
      <c r="K354" s="79"/>
      <c r="L354" s="79"/>
      <c r="M354" s="79"/>
      <c r="N354" s="235"/>
    </row>
    <row r="355" spans="2:16" x14ac:dyDescent="0.2">
      <c r="B355" s="253"/>
      <c r="C355" s="16"/>
      <c r="D355" s="146" t="s">
        <v>343</v>
      </c>
      <c r="E355" s="147"/>
      <c r="F355" s="148">
        <v>2</v>
      </c>
      <c r="G355" s="84">
        <v>0.5</v>
      </c>
      <c r="H355" s="79"/>
      <c r="I355" s="79"/>
      <c r="J355" s="79"/>
      <c r="K355" s="79"/>
      <c r="L355" s="105" t="str">
        <f>IF(E355="","",IF(ABS(E355-F355)&lt;=G355,"PASS","FAIL"))</f>
        <v/>
      </c>
      <c r="M355" s="79"/>
      <c r="N355" s="235"/>
    </row>
    <row r="356" spans="2:16" x14ac:dyDescent="0.2">
      <c r="B356" s="253"/>
      <c r="C356" s="79"/>
      <c r="D356" s="146" t="s">
        <v>337</v>
      </c>
      <c r="E356" s="147"/>
      <c r="F356" s="148">
        <v>50</v>
      </c>
      <c r="G356" s="84">
        <v>1</v>
      </c>
      <c r="H356" s="79"/>
      <c r="I356" s="79"/>
      <c r="J356" s="79"/>
      <c r="K356" s="79"/>
      <c r="L356" s="105" t="str">
        <f>IF(E356="","",IF(ABS(E356-F356)&lt;=G356,"PASS","FAIL"))</f>
        <v/>
      </c>
      <c r="M356" s="79"/>
      <c r="N356" s="235"/>
    </row>
    <row r="357" spans="2:16" x14ac:dyDescent="0.2">
      <c r="B357" s="253"/>
      <c r="C357" s="79"/>
      <c r="D357" s="146" t="s">
        <v>338</v>
      </c>
      <c r="E357" s="147"/>
      <c r="F357" s="148">
        <v>50</v>
      </c>
      <c r="G357" s="84">
        <v>1</v>
      </c>
      <c r="H357" s="79"/>
      <c r="I357" s="79"/>
      <c r="J357" s="79"/>
      <c r="K357" s="79"/>
      <c r="L357" s="105" t="str">
        <f>IF(E357="","",IF(ABS(E357-F357)&lt;=G357,"PASS","FAIL"))</f>
        <v/>
      </c>
      <c r="M357" s="79"/>
      <c r="N357" s="235"/>
    </row>
    <row r="358" spans="2:16" x14ac:dyDescent="0.2">
      <c r="B358" s="253"/>
      <c r="C358" s="79"/>
      <c r="D358" s="16"/>
      <c r="E358" s="87"/>
      <c r="F358" s="87"/>
      <c r="G358" s="87"/>
      <c r="H358" s="79"/>
      <c r="I358" s="79"/>
      <c r="J358" s="79"/>
      <c r="K358" s="79"/>
      <c r="L358" s="107"/>
      <c r="M358" s="79"/>
      <c r="N358" s="235"/>
    </row>
    <row r="359" spans="2:16" ht="13.5" customHeight="1" x14ac:dyDescent="0.2">
      <c r="B359" s="253"/>
      <c r="C359" s="108" t="s">
        <v>413</v>
      </c>
      <c r="D359" s="16"/>
      <c r="E359" s="87"/>
      <c r="F359" s="87"/>
      <c r="G359" s="87"/>
      <c r="H359" s="79"/>
      <c r="I359" s="79"/>
      <c r="J359" s="79"/>
      <c r="K359" s="79"/>
      <c r="L359" s="107"/>
      <c r="M359" s="79"/>
      <c r="N359" s="235"/>
    </row>
    <row r="360" spans="2:16" x14ac:dyDescent="0.2">
      <c r="B360" s="253"/>
      <c r="C360" s="79"/>
      <c r="D360" s="79"/>
      <c r="E360" s="83" t="s">
        <v>287</v>
      </c>
      <c r="F360" s="83" t="s">
        <v>288</v>
      </c>
      <c r="G360" s="83" t="s">
        <v>289</v>
      </c>
      <c r="H360" s="79"/>
      <c r="I360" s="79"/>
      <c r="J360" s="79"/>
      <c r="K360" s="79"/>
      <c r="L360" s="79"/>
      <c r="M360" s="79"/>
      <c r="N360" s="235"/>
      <c r="P360" s="96"/>
    </row>
    <row r="361" spans="2:16" x14ac:dyDescent="0.2">
      <c r="B361" s="253"/>
      <c r="C361" s="16"/>
      <c r="D361" s="146" t="s">
        <v>290</v>
      </c>
      <c r="E361" s="153"/>
      <c r="F361" s="149">
        <v>340</v>
      </c>
      <c r="G361" s="150">
        <v>50</v>
      </c>
      <c r="H361" s="79"/>
      <c r="I361" s="79"/>
      <c r="J361" s="79"/>
      <c r="K361" s="79"/>
      <c r="L361" s="105" t="str">
        <f>IF(E361="","",IF(ABS(E361-F361)&lt;=G361,"PASS","FAIL"))</f>
        <v/>
      </c>
      <c r="M361" s="79"/>
      <c r="N361" s="235"/>
      <c r="P361" s="96"/>
    </row>
    <row r="362" spans="2:16" x14ac:dyDescent="0.2">
      <c r="B362" s="253"/>
      <c r="C362" s="79"/>
      <c r="D362" s="146" t="s">
        <v>291</v>
      </c>
      <c r="E362" s="153"/>
      <c r="F362" s="149">
        <v>-1000</v>
      </c>
      <c r="G362" s="150">
        <v>50</v>
      </c>
      <c r="H362" s="79"/>
      <c r="I362" s="79"/>
      <c r="J362" s="79"/>
      <c r="K362" s="79"/>
      <c r="L362" s="105" t="str">
        <f>IF(E362="","",IF(ABS(E362-F362)&lt;=G362,"PASS","FAIL"))</f>
        <v/>
      </c>
      <c r="M362" s="79"/>
      <c r="N362" s="235"/>
      <c r="P362" s="96"/>
    </row>
    <row r="363" spans="2:16" x14ac:dyDescent="0.2">
      <c r="B363" s="253"/>
      <c r="C363" s="79"/>
      <c r="D363" s="146" t="s">
        <v>292</v>
      </c>
      <c r="E363" s="153"/>
      <c r="F363" s="149">
        <v>-100</v>
      </c>
      <c r="G363" s="150">
        <v>50</v>
      </c>
      <c r="H363" s="79"/>
      <c r="I363" s="79"/>
      <c r="J363" s="79"/>
      <c r="K363" s="79"/>
      <c r="L363" s="105" t="str">
        <f>IF(E363="","",IF(ABS(E363-F363)&lt;=G363,"PASS","FAIL"))</f>
        <v/>
      </c>
      <c r="M363" s="79"/>
      <c r="N363" s="235"/>
    </row>
    <row r="364" spans="2:16" x14ac:dyDescent="0.2">
      <c r="B364" s="253"/>
      <c r="C364" s="79"/>
      <c r="D364" s="146" t="s">
        <v>293</v>
      </c>
      <c r="E364" s="153"/>
      <c r="F364" s="149">
        <v>990</v>
      </c>
      <c r="G364" s="150">
        <v>50</v>
      </c>
      <c r="H364" s="79"/>
      <c r="I364" s="79"/>
      <c r="J364" s="79"/>
      <c r="K364" s="79"/>
      <c r="L364" s="105" t="str">
        <f>IF(E364="","",IF(ABS(E364-F364)&lt;=G364,"PASS","FAIL"))</f>
        <v/>
      </c>
      <c r="M364" s="79"/>
      <c r="N364" s="235"/>
    </row>
    <row r="365" spans="2:16" x14ac:dyDescent="0.2">
      <c r="B365" s="253"/>
      <c r="C365" s="79"/>
      <c r="D365" s="16"/>
      <c r="E365" s="87"/>
      <c r="F365" s="87"/>
      <c r="G365" s="87"/>
      <c r="H365" s="79"/>
      <c r="I365" s="79"/>
      <c r="J365" s="79"/>
      <c r="K365" s="79"/>
      <c r="L365" s="107"/>
      <c r="M365" s="79"/>
      <c r="N365" s="235"/>
    </row>
    <row r="366" spans="2:16" x14ac:dyDescent="0.2">
      <c r="B366" s="253"/>
      <c r="C366" s="108" t="s">
        <v>414</v>
      </c>
      <c r="D366" s="79"/>
      <c r="E366" s="79"/>
      <c r="F366" s="79"/>
      <c r="G366" s="79"/>
      <c r="H366" s="79"/>
      <c r="I366" s="79"/>
      <c r="J366" s="79"/>
      <c r="K366" s="79"/>
      <c r="L366" s="79"/>
      <c r="M366" s="79"/>
      <c r="N366" s="235"/>
    </row>
    <row r="367" spans="2:16" x14ac:dyDescent="0.2">
      <c r="B367" s="253"/>
      <c r="C367" s="79"/>
      <c r="D367" s="79"/>
      <c r="E367" s="83" t="s">
        <v>374</v>
      </c>
      <c r="F367" s="83" t="s">
        <v>389</v>
      </c>
      <c r="G367" s="83" t="s">
        <v>388</v>
      </c>
      <c r="H367" s="79"/>
      <c r="I367" s="79"/>
      <c r="J367" s="79"/>
      <c r="K367" s="79"/>
      <c r="L367" s="79"/>
      <c r="M367" s="79"/>
      <c r="N367" s="235"/>
    </row>
    <row r="368" spans="2:16" x14ac:dyDescent="0.2">
      <c r="B368" s="253"/>
      <c r="C368" s="16"/>
      <c r="D368" s="146"/>
      <c r="E368" s="147"/>
      <c r="F368" s="84">
        <f>Data!AI52</f>
        <v>0.8</v>
      </c>
      <c r="G368" s="50">
        <v>20</v>
      </c>
      <c r="H368" s="79"/>
      <c r="I368" s="79"/>
      <c r="J368" s="79"/>
      <c r="K368" s="79"/>
      <c r="L368" s="105" t="str">
        <f>IF(E368="","",IF(E368&gt;=0.8*F368,"PASS","FAIL"))</f>
        <v/>
      </c>
      <c r="M368" s="79"/>
      <c r="N368" s="235"/>
    </row>
    <row r="369" spans="2:14" x14ac:dyDescent="0.2">
      <c r="B369" s="253"/>
      <c r="C369" s="16"/>
      <c r="D369" s="16"/>
      <c r="E369" s="79"/>
      <c r="F369" s="151"/>
      <c r="G369" s="79"/>
      <c r="H369" s="79"/>
      <c r="I369" s="79"/>
      <c r="J369" s="79"/>
      <c r="K369" s="79"/>
      <c r="L369" s="107"/>
      <c r="M369" s="79"/>
      <c r="N369" s="235"/>
    </row>
    <row r="370" spans="2:14" x14ac:dyDescent="0.2">
      <c r="B370" s="253"/>
      <c r="C370" s="108" t="s">
        <v>415</v>
      </c>
      <c r="D370" s="16"/>
      <c r="E370" s="79"/>
      <c r="F370" s="123"/>
      <c r="G370" s="123"/>
      <c r="H370" s="79"/>
      <c r="I370" s="79"/>
      <c r="J370" s="79"/>
      <c r="K370" s="79"/>
      <c r="L370" s="107"/>
      <c r="M370" s="79"/>
      <c r="N370" s="235"/>
    </row>
    <row r="371" spans="2:14" x14ac:dyDescent="0.2">
      <c r="B371" s="253"/>
      <c r="C371" s="79"/>
      <c r="D371" s="79"/>
      <c r="E371" s="83" t="s">
        <v>294</v>
      </c>
      <c r="F371" s="83" t="s">
        <v>295</v>
      </c>
      <c r="G371" s="83" t="s">
        <v>296</v>
      </c>
      <c r="H371" s="83" t="s">
        <v>289</v>
      </c>
      <c r="I371" s="83"/>
      <c r="J371" s="79"/>
      <c r="K371" s="79"/>
      <c r="L371" s="79"/>
      <c r="M371" s="79"/>
      <c r="N371" s="235"/>
    </row>
    <row r="372" spans="2:14" x14ac:dyDescent="0.2">
      <c r="B372" s="253"/>
      <c r="C372" s="16"/>
      <c r="D372" s="146" t="s">
        <v>297</v>
      </c>
      <c r="E372" s="153"/>
      <c r="F372" s="153"/>
      <c r="G372" s="152" t="str">
        <f>IF(OR(E372="",F372=""),"",F372-E372)</f>
        <v/>
      </c>
      <c r="H372" s="152">
        <v>10</v>
      </c>
      <c r="I372" s="123"/>
      <c r="J372" s="79"/>
      <c r="K372" s="79"/>
      <c r="L372" s="105" t="str">
        <f>IF(G372="","",IF(ABS(G372)&lt;=H372,"PASS","FAIL"))</f>
        <v/>
      </c>
      <c r="M372" s="79"/>
      <c r="N372" s="235"/>
    </row>
    <row r="373" spans="2:14" x14ac:dyDescent="0.2">
      <c r="B373" s="253"/>
      <c r="C373" s="79"/>
      <c r="D373" s="16" t="s">
        <v>298</v>
      </c>
      <c r="E373" s="112"/>
      <c r="F373" s="153"/>
      <c r="G373" s="152" t="str">
        <f>IF(OR(E373="",F373=""),"",F373-E373)</f>
        <v/>
      </c>
      <c r="H373" s="152">
        <v>10</v>
      </c>
      <c r="I373" s="123"/>
      <c r="J373" s="79"/>
      <c r="K373" s="79"/>
      <c r="L373" s="105" t="str">
        <f>IF(G373="","",IF(ABS(G373)&lt;=H373,"PASS","FAIL"))</f>
        <v/>
      </c>
      <c r="M373" s="79"/>
      <c r="N373" s="235"/>
    </row>
    <row r="374" spans="2:14" x14ac:dyDescent="0.2">
      <c r="B374" s="253"/>
      <c r="C374" s="79"/>
      <c r="D374" s="79"/>
      <c r="E374" s="79"/>
      <c r="F374" s="79"/>
      <c r="G374" s="123"/>
      <c r="H374" s="79"/>
      <c r="I374" s="79"/>
      <c r="J374" s="79"/>
      <c r="K374" s="79"/>
      <c r="L374" s="107"/>
      <c r="M374" s="79"/>
      <c r="N374" s="235"/>
    </row>
    <row r="375" spans="2:14" x14ac:dyDescent="0.2">
      <c r="B375" s="253"/>
      <c r="C375" s="108" t="s">
        <v>416</v>
      </c>
      <c r="D375" s="16"/>
      <c r="E375" s="79"/>
      <c r="F375" s="123"/>
      <c r="G375" s="123"/>
      <c r="H375" s="79"/>
      <c r="I375" s="79"/>
      <c r="J375" s="79"/>
      <c r="K375" s="79"/>
      <c r="L375" s="107"/>
      <c r="M375" s="79"/>
      <c r="N375" s="235"/>
    </row>
    <row r="376" spans="2:14" x14ac:dyDescent="0.2">
      <c r="B376" s="253"/>
      <c r="C376" s="79"/>
      <c r="D376" s="79"/>
      <c r="E376" s="83"/>
      <c r="F376" s="83" t="s">
        <v>340</v>
      </c>
      <c r="G376" s="83" t="s">
        <v>342</v>
      </c>
      <c r="H376" s="83"/>
      <c r="I376" s="79"/>
      <c r="J376" s="79"/>
      <c r="K376" s="79"/>
      <c r="L376" s="79"/>
      <c r="M376" s="79"/>
      <c r="N376" s="235"/>
    </row>
    <row r="377" spans="2:14" x14ac:dyDescent="0.2">
      <c r="B377" s="253"/>
      <c r="C377" s="16"/>
      <c r="D377" s="146" t="s">
        <v>339</v>
      </c>
      <c r="E377" s="152" t="str">
        <f>IF(OR(E361="",E363=""),"",E361-E363)</f>
        <v/>
      </c>
      <c r="F377" s="152">
        <v>440</v>
      </c>
      <c r="G377" s="152">
        <v>20</v>
      </c>
      <c r="H377" s="123"/>
      <c r="I377" s="79"/>
      <c r="J377" s="79"/>
      <c r="K377" s="79"/>
      <c r="L377" s="105" t="str">
        <f>IF(E377="","",IF(100*ABS(E377-F377)/F377&lt;=G377,"PASS","FAIL"))</f>
        <v/>
      </c>
      <c r="M377" s="79"/>
      <c r="N377" s="235"/>
    </row>
    <row r="378" spans="2:14" x14ac:dyDescent="0.2">
      <c r="B378" s="253"/>
      <c r="C378" s="79"/>
      <c r="D378" s="16" t="s">
        <v>341</v>
      </c>
      <c r="E378" s="152" t="str">
        <f>IF(OR(E373="",F373=""),"",AVERAGE(E373:F374))</f>
        <v/>
      </c>
      <c r="F378" s="152">
        <v>10</v>
      </c>
      <c r="G378" s="152">
        <v>20</v>
      </c>
      <c r="H378" s="123"/>
      <c r="I378" s="79"/>
      <c r="J378" s="79"/>
      <c r="K378" s="79"/>
      <c r="L378" s="105" t="str">
        <f>IF(E378="","",IF(100*ABS(E378-F378)/F378&lt;=G378,"PASS","FAIL"))</f>
        <v/>
      </c>
      <c r="M378" s="79"/>
      <c r="N378" s="235"/>
    </row>
    <row r="379" spans="2:14" x14ac:dyDescent="0.2">
      <c r="B379" s="253"/>
      <c r="C379" s="79"/>
      <c r="D379" s="16" t="s">
        <v>274</v>
      </c>
      <c r="E379" s="152" t="str">
        <f>IF(OR(E377="",E378=""),"",E377/E378)</f>
        <v/>
      </c>
      <c r="F379" s="152">
        <v>44</v>
      </c>
      <c r="G379" s="152">
        <v>20</v>
      </c>
      <c r="H379" s="79"/>
      <c r="I379" s="79"/>
      <c r="J379" s="79"/>
      <c r="K379" s="79"/>
      <c r="L379" s="105" t="str">
        <f>IF(E379="","",IF(100*ABS(E379-F379)/F379&lt;=G379,"PASS","FAIL"))</f>
        <v/>
      </c>
      <c r="M379" s="79"/>
      <c r="N379" s="235"/>
    </row>
    <row r="380" spans="2:14" ht="13.5" thickBot="1" x14ac:dyDescent="0.25">
      <c r="B380" s="254"/>
      <c r="C380" s="255"/>
      <c r="D380" s="255"/>
      <c r="E380" s="255"/>
      <c r="F380" s="255"/>
      <c r="G380" s="256"/>
      <c r="H380" s="255"/>
      <c r="I380" s="255"/>
      <c r="J380" s="255"/>
      <c r="K380" s="255"/>
      <c r="L380" s="257"/>
      <c r="M380" s="255"/>
      <c r="N380" s="258"/>
    </row>
    <row r="381" spans="2:14" x14ac:dyDescent="0.2">
      <c r="B381" s="218"/>
      <c r="C381" s="218"/>
      <c r="D381" s="222"/>
      <c r="E381" s="222"/>
      <c r="F381" s="336" t="s">
        <v>299</v>
      </c>
      <c r="G381" s="337"/>
      <c r="H381" s="337"/>
      <c r="I381" s="223"/>
      <c r="J381" s="218"/>
      <c r="K381" s="218"/>
      <c r="L381" s="218"/>
      <c r="M381" s="218"/>
      <c r="N381" s="218"/>
    </row>
    <row r="382" spans="2:14" x14ac:dyDescent="0.2">
      <c r="B382" s="218"/>
      <c r="C382" s="218"/>
      <c r="D382" s="218"/>
      <c r="E382" s="218"/>
      <c r="F382" s="337"/>
      <c r="G382" s="337"/>
      <c r="H382" s="337"/>
      <c r="I382" s="218"/>
      <c r="J382" s="218"/>
      <c r="K382" s="218"/>
      <c r="L382" s="218"/>
      <c r="M382" s="218"/>
      <c r="N382" s="218"/>
    </row>
    <row r="383" spans="2:14" x14ac:dyDescent="0.2"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</row>
  </sheetData>
  <sheetProtection selectLockedCells="1"/>
  <mergeCells count="31">
    <mergeCell ref="K103:L103"/>
    <mergeCell ref="H12:J12"/>
    <mergeCell ref="F15:G15"/>
    <mergeCell ref="C17:M19"/>
    <mergeCell ref="F21:G21"/>
    <mergeCell ref="K24:L24"/>
    <mergeCell ref="J27:M27"/>
    <mergeCell ref="J28:M28"/>
    <mergeCell ref="J29:M29"/>
    <mergeCell ref="J30:M30"/>
    <mergeCell ref="J31:M31"/>
    <mergeCell ref="K33:L33"/>
    <mergeCell ref="L305:M305"/>
    <mergeCell ref="K122:L122"/>
    <mergeCell ref="F173:L174"/>
    <mergeCell ref="D188:L189"/>
    <mergeCell ref="L213:M213"/>
    <mergeCell ref="L214:M214"/>
    <mergeCell ref="D237:L238"/>
    <mergeCell ref="K240:L240"/>
    <mergeCell ref="K273:L273"/>
    <mergeCell ref="E290:M290"/>
    <mergeCell ref="E291:M291"/>
    <mergeCell ref="K293:L293"/>
    <mergeCell ref="F381:H382"/>
    <mergeCell ref="F308:L308"/>
    <mergeCell ref="F309:L309"/>
    <mergeCell ref="L323:M323"/>
    <mergeCell ref="L324:M324"/>
    <mergeCell ref="K340:L340"/>
    <mergeCell ref="I351:M351"/>
  </mergeCells>
  <conditionalFormatting sqref="E372:F373 E368 E351 G351 E355:E357 E361:E364 E319:H319 E287:E288 E282:E285 E290:E291 F291:M291 D305:I305 D337:I338 F259:H259 F267:G267 G271:H271 F255:H255 F251 H251 J251 E230:E232 F263:H263 C186 C181:C182 G186 C198 D161:I161 C206 E131:H134 E145:H146 C214:D214 C170:J170 H214 F214 F21 L12:M12 C17:M19 E223:I226 C328:K329 J27:M31">
    <cfRule type="cellIs" dxfId="47" priority="63" stopIfTrue="1" operator="equal">
      <formula>""</formula>
    </cfRule>
  </conditionalFormatting>
  <conditionalFormatting sqref="H12:J12">
    <cfRule type="cellIs" dxfId="46" priority="64" stopIfTrue="1" operator="equal">
      <formula>$Q$6</formula>
    </cfRule>
  </conditionalFormatting>
  <conditionalFormatting sqref="M21">
    <cfRule type="cellIs" dxfId="45" priority="62" stopIfTrue="1" operator="equal">
      <formula>$Q$6</formula>
    </cfRule>
  </conditionalFormatting>
  <conditionalFormatting sqref="F308:F309 F173:L174">
    <cfRule type="cellIs" dxfId="44" priority="61" stopIfTrue="1" operator="equal">
      <formula>$Q$6</formula>
    </cfRule>
  </conditionalFormatting>
  <conditionalFormatting sqref="D237:L238 D188:L189">
    <cfRule type="cellIs" dxfId="43" priority="60" stopIfTrue="1" operator="equal">
      <formula>$Q$6</formula>
    </cfRule>
  </conditionalFormatting>
  <conditionalFormatting sqref="E227:I227 J305:K305 N305">
    <cfRule type="cellIs" dxfId="42" priority="59" stopIfTrue="1" operator="equal">
      <formula>$Q$8</formula>
    </cfRule>
  </conditionalFormatting>
  <conditionalFormatting sqref="I351:M351">
    <cfRule type="cellIs" dxfId="41" priority="58" stopIfTrue="1" operator="equal">
      <formula>$Q$6</formula>
    </cfRule>
  </conditionalFormatting>
  <conditionalFormatting sqref="J214">
    <cfRule type="cellIs" dxfId="40" priority="57" stopIfTrue="1" operator="equal">
      <formula>$Q$8</formula>
    </cfRule>
  </conditionalFormatting>
  <conditionalFormatting sqref="G351 L355:L365 L368:L380 H282:H285 E287:E288 J319 J337:J338 M251:N251 J255 J259 J263 J267 J271 N47:N50 N62:N66 N72 N85:N88 N116:N120 G230:G235 J305:K305 L328:N329 N305">
    <cfRule type="cellIs" dxfId="39" priority="56" stopIfTrue="1" operator="equal">
      <formula>"FAIL"</formula>
    </cfRule>
  </conditionalFormatting>
  <conditionalFormatting sqref="H27:H31">
    <cfRule type="cellIs" dxfId="38" priority="55" stopIfTrue="1" operator="equal">
      <formula>"NOT REVIEWED"</formula>
    </cfRule>
  </conditionalFormatting>
  <conditionalFormatting sqref="N47:N50 N62:N66 N72 N85:N88 N116:N120">
    <cfRule type="cellIs" dxfId="37" priority="54" stopIfTrue="1" operator="equal">
      <formula>"MARGINAL"</formula>
    </cfRule>
  </conditionalFormatting>
  <conditionalFormatting sqref="K170">
    <cfRule type="cellIs" dxfId="36" priority="53" stopIfTrue="1" operator="equal">
      <formula>"FAIL"</formula>
    </cfRule>
  </conditionalFormatting>
  <conditionalFormatting sqref="J131:J137 J145:J147 L161 L186 F186 I186:J186 D198 D206 J214 E227:I227 G230:G235">
    <cfRule type="cellIs" dxfId="35" priority="52" stopIfTrue="1" operator="equal">
      <formula>"FAIL"</formula>
    </cfRule>
  </conditionalFormatting>
  <conditionalFormatting sqref="E226:I226">
    <cfRule type="cellIs" dxfId="34" priority="51" stopIfTrue="1" operator="equal">
      <formula>"FAIL"</formula>
    </cfRule>
  </conditionalFormatting>
  <conditionalFormatting sqref="L213:M214">
    <cfRule type="cellIs" dxfId="33" priority="47" stopIfTrue="1" operator="equal">
      <formula>$Q$6</formula>
    </cfRule>
  </conditionalFormatting>
  <conditionalFormatting sqref="L323:M324">
    <cfRule type="cellIs" dxfId="32" priority="46" stopIfTrue="1" operator="equal">
      <formula>$Q$6</formula>
    </cfRule>
  </conditionalFormatting>
  <conditionalFormatting sqref="K24:L24">
    <cfRule type="cellIs" dxfId="31" priority="45" stopIfTrue="1" operator="notEqual">
      <formula>""</formula>
    </cfRule>
  </conditionalFormatting>
  <conditionalFormatting sqref="K33:L33">
    <cfRule type="cellIs" dxfId="30" priority="44" stopIfTrue="1" operator="notEqual">
      <formula>""</formula>
    </cfRule>
  </conditionalFormatting>
  <conditionalFormatting sqref="K122:L122">
    <cfRule type="cellIs" dxfId="29" priority="42" stopIfTrue="1" operator="notEqual">
      <formula>""</formula>
    </cfRule>
  </conditionalFormatting>
  <conditionalFormatting sqref="K240:L240">
    <cfRule type="cellIs" dxfId="28" priority="41" stopIfTrue="1" operator="notEqual">
      <formula>""</formula>
    </cfRule>
  </conditionalFormatting>
  <conditionalFormatting sqref="K273:L273">
    <cfRule type="cellIs" dxfId="27" priority="40" stopIfTrue="1" operator="notEqual">
      <formula>""</formula>
    </cfRule>
  </conditionalFormatting>
  <conditionalFormatting sqref="K293:L293">
    <cfRule type="cellIs" dxfId="26" priority="39" stopIfTrue="1" operator="notEqual">
      <formula>""</formula>
    </cfRule>
  </conditionalFormatting>
  <conditionalFormatting sqref="K340:L340">
    <cfRule type="cellIs" dxfId="25" priority="38" stopIfTrue="1" operator="notEqual">
      <formula>""</formula>
    </cfRule>
  </conditionalFormatting>
  <conditionalFormatting sqref="F15 M15 H27:H31">
    <cfRule type="cellIs" dxfId="24" priority="37" stopIfTrue="1" operator="equal">
      <formula>""</formula>
    </cfRule>
  </conditionalFormatting>
  <conditionalFormatting sqref="G351 D206 J186 D198">
    <cfRule type="cellIs" dxfId="23" priority="65" stopIfTrue="1" operator="equal">
      <formula>$Q$6</formula>
    </cfRule>
    <cfRule type="cellIs" dxfId="22" priority="66" stopIfTrue="1" operator="equal">
      <formula>$Q$8</formula>
    </cfRule>
  </conditionalFormatting>
  <conditionalFormatting sqref="E235:F235">
    <cfRule type="cellIs" dxfId="21" priority="35" stopIfTrue="1" operator="equal">
      <formula>""</formula>
    </cfRule>
  </conditionalFormatting>
  <conditionalFormatting sqref="I235">
    <cfRule type="cellIs" dxfId="20" priority="34" stopIfTrue="1" operator="equal">
      <formula>"FAIL"</formula>
    </cfRule>
  </conditionalFormatting>
  <conditionalFormatting sqref="I235">
    <cfRule type="cellIs" dxfId="19" priority="33" stopIfTrue="1" operator="equal">
      <formula>"FAIL"</formula>
    </cfRule>
  </conditionalFormatting>
  <conditionalFormatting sqref="L305:M305">
    <cfRule type="cellIs" dxfId="18" priority="32" stopIfTrue="1" operator="equal">
      <formula>$Q$6</formula>
    </cfRule>
  </conditionalFormatting>
  <conditionalFormatting sqref="J15">
    <cfRule type="cellIs" dxfId="17" priority="30" stopIfTrue="1" operator="equal">
      <formula>$Q$8</formula>
    </cfRule>
    <cfRule type="cellIs" dxfId="16" priority="31" stopIfTrue="1" operator="equal">
      <formula>$Q$6</formula>
    </cfRule>
  </conditionalFormatting>
  <conditionalFormatting sqref="J15">
    <cfRule type="cellIs" dxfId="15" priority="29" stopIfTrue="1" operator="equal">
      <formula>""</formula>
    </cfRule>
  </conditionalFormatting>
  <conditionalFormatting sqref="F15:G15">
    <cfRule type="cellIs" dxfId="14" priority="27" stopIfTrue="1" operator="equal">
      <formula>"CONDITIONAL PASS"</formula>
    </cfRule>
    <cfRule type="cellIs" dxfId="13" priority="28" stopIfTrue="1" operator="equal">
      <formula>"FAIL"</formula>
    </cfRule>
  </conditionalFormatting>
  <conditionalFormatting sqref="K103:L103">
    <cfRule type="cellIs" dxfId="12" priority="20" stopIfTrue="1" operator="notEqual">
      <formula>""</formula>
    </cfRule>
  </conditionalFormatting>
  <conditionalFormatting sqref="M116:M120">
    <cfRule type="cellIs" dxfId="11" priority="14" stopIfTrue="1" operator="equal">
      <formula>"FAIL"</formula>
    </cfRule>
  </conditionalFormatting>
  <conditionalFormatting sqref="M116:M120">
    <cfRule type="cellIs" dxfId="10" priority="13" stopIfTrue="1" operator="equal">
      <formula>"MARGINAL"</formula>
    </cfRule>
  </conditionalFormatting>
  <conditionalFormatting sqref="K98:K100 I98:I100">
    <cfRule type="cellIs" dxfId="9" priority="11" stopIfTrue="1" operator="equal">
      <formula>""</formula>
    </cfRule>
  </conditionalFormatting>
  <conditionalFormatting sqref="M47:M50 M62:M66 M72 M85:M88 L98:L100 L55:L57">
    <cfRule type="cellIs" dxfId="8" priority="10" stopIfTrue="1" operator="equal">
      <formula>"FAIL"</formula>
    </cfRule>
  </conditionalFormatting>
  <conditionalFormatting sqref="M47:M50 M62:M66 M72 M85:M88 L98:L100 L55:L57">
    <cfRule type="cellIs" dxfId="7" priority="9" stopIfTrue="1" operator="equal">
      <formula>"MARGINAL"</formula>
    </cfRule>
  </conditionalFormatting>
  <conditionalFormatting sqref="K101 I101">
    <cfRule type="cellIs" dxfId="6" priority="8" stopIfTrue="1" operator="equal">
      <formula>""</formula>
    </cfRule>
  </conditionalFormatting>
  <conditionalFormatting sqref="L101">
    <cfRule type="cellIs" dxfId="5" priority="7" stopIfTrue="1" operator="equal">
      <formula>"FAIL"</formula>
    </cfRule>
  </conditionalFormatting>
  <conditionalFormatting sqref="L101">
    <cfRule type="cellIs" dxfId="4" priority="6" stopIfTrue="1" operator="equal">
      <formula>"MARGINAL"</formula>
    </cfRule>
  </conditionalFormatting>
  <conditionalFormatting sqref="D35 D37 D98:E99 D105 D107 E47:G50 E55:F57 E77 E100 E116:G120 F62:G66 F72:G72 F85:G88 G35 G37 G98:G100 G105 G107">
    <cfRule type="cellIs" dxfId="3" priority="4" stopIfTrue="1" operator="equal">
      <formula>""</formula>
    </cfRule>
  </conditionalFormatting>
  <conditionalFormatting sqref="E77">
    <cfRule type="cellIs" dxfId="2" priority="3" stopIfTrue="1" operator="equal">
      <formula>"FAIL"</formula>
    </cfRule>
  </conditionalFormatting>
  <conditionalFormatting sqref="E101 G101">
    <cfRule type="cellIs" dxfId="1" priority="2" stopIfTrue="1" operator="equal">
      <formula>""</formula>
    </cfRule>
  </conditionalFormatting>
  <conditionalFormatting sqref="G98:G100">
    <cfRule type="cellIs" dxfId="0" priority="1" stopIfTrue="1" operator="equal">
      <formula>""</formula>
    </cfRule>
  </conditionalFormatting>
  <dataValidations count="15">
    <dataValidation type="list" allowBlank="1" showInputMessage="1" showErrorMessage="1" sqref="F15:G15">
      <formula1>List_Status1</formula1>
    </dataValidation>
    <dataValidation type="date" operator="greaterThan" allowBlank="1" showInputMessage="1" showErrorMessage="1" sqref="M21">
      <formula1>36526</formula1>
    </dataValidation>
    <dataValidation type="list" allowBlank="1" showInputMessage="1" showErrorMessage="1" sqref="K33:L33 K340:L340 K122:L122 K240:L240 K273:L273 K293:L293">
      <formula1>List_Student</formula1>
    </dataValidation>
    <dataValidation type="list" allowBlank="1" showInputMessage="1" showErrorMessage="1" sqref="H27:H31">
      <formula1>List_Status2</formula1>
    </dataValidation>
    <dataValidation type="list" allowBlank="1" showInputMessage="1" showErrorMessage="1" sqref="H12:J12">
      <formula1>List_Machine</formula1>
    </dataValidation>
    <dataValidation type="list" allowBlank="1" showInputMessage="1" showErrorMessage="1" sqref="L12">
      <formula1>List_Month</formula1>
    </dataValidation>
    <dataValidation type="list" allowBlank="1" showInputMessage="1" showErrorMessage="1" sqref="M12">
      <formula1>List_Year</formula1>
    </dataValidation>
    <dataValidation type="list" allowBlank="1" showInputMessage="1" showErrorMessage="1" sqref="K24:L24 F21">
      <formula1>List_Personnel</formula1>
    </dataValidation>
    <dataValidation type="list" allowBlank="1" showInputMessage="1" showErrorMessage="1" sqref="I305 J170 J15 M15">
      <formula1>List_Status4</formula1>
    </dataValidation>
    <dataValidation type="list" allowBlank="1" showInputMessage="1" showErrorMessage="1" sqref="H305 E287:E288 G351 D198 D206 E226:I226 J186">
      <formula1>List_Status3</formula1>
    </dataValidation>
    <dataValidation type="list" showInputMessage="1" showErrorMessage="1" sqref="E77">
      <formula1>List_Status3</formula1>
    </dataValidation>
    <dataValidation showInputMessage="1" showErrorMessage="1" sqref="G107"/>
    <dataValidation showInputMessage="1" showErrorMessage="1" sqref="D107"/>
    <dataValidation showInputMessage="1" showErrorMessage="1" sqref="D37 G37"/>
    <dataValidation type="list" showInputMessage="1" showErrorMessage="1" sqref="K103:L103">
      <formula1>List_Student</formula1>
    </dataValidation>
  </dataValidations>
  <printOptions horizontalCentered="1"/>
  <pageMargins left="0.19685039370078741" right="0.19685039370078741" top="0.19685039370078741" bottom="0.19685039370078741" header="0.19685039370078741" footer="0.19685039370078741"/>
  <pageSetup scale="59" orientation="portrait" r:id="rId1"/>
  <headerFooter alignWithMargins="0">
    <oddFooter>&amp;RPage &amp;P of &amp;N</oddFooter>
  </headerFooter>
  <rowBreaks count="2" manualBreakCount="2">
    <brk id="102" min="1" max="12" man="1"/>
    <brk id="163" min="1" max="12" man="1"/>
  </rowBreaks>
  <drawing r:id="rId2"/>
  <legacyDrawing r:id="rId3"/>
  <controls>
    <mc:AlternateContent xmlns:mc="http://schemas.openxmlformats.org/markup-compatibility/2006">
      <mc:Choice Requires="x14">
        <control shapeId="25601" r:id="rId4" name="cmdClear">
          <controlPr locked="0" defaultSize="0" autoLine="0" r:id="rId5">
            <anchor moveWithCells="1">
              <from>
                <xdr:col>4</xdr:col>
                <xdr:colOff>28575</xdr:colOff>
                <xdr:row>5</xdr:row>
                <xdr:rowOff>47625</xdr:rowOff>
              </from>
              <to>
                <xdr:col>5</xdr:col>
                <xdr:colOff>295275</xdr:colOff>
                <xdr:row>7</xdr:row>
                <xdr:rowOff>57150</xdr:rowOff>
              </to>
            </anchor>
          </controlPr>
        </control>
      </mc:Choice>
      <mc:Fallback>
        <control shapeId="25601" r:id="rId4" name="cmdClear"/>
      </mc:Fallback>
    </mc:AlternateContent>
    <mc:AlternateContent xmlns:mc="http://schemas.openxmlformats.org/markup-compatibility/2006">
      <mc:Choice Requires="x14">
        <control shapeId="25602" r:id="rId6" name="cmdPrint">
          <controlPr locked="0" defaultSize="0" autoLine="0" r:id="rId7">
            <anchor moveWithCells="1">
              <from>
                <xdr:col>11</xdr:col>
                <xdr:colOff>304800</xdr:colOff>
                <xdr:row>5</xdr:row>
                <xdr:rowOff>38100</xdr:rowOff>
              </from>
              <to>
                <xdr:col>12</xdr:col>
                <xdr:colOff>542925</xdr:colOff>
                <xdr:row>7</xdr:row>
                <xdr:rowOff>38100</xdr:rowOff>
              </to>
            </anchor>
          </controlPr>
        </control>
      </mc:Choice>
      <mc:Fallback>
        <control shapeId="25602" r:id="rId6" name="cmdPrint"/>
      </mc:Fallback>
    </mc:AlternateContent>
    <mc:AlternateContent xmlns:mc="http://schemas.openxmlformats.org/markup-compatibility/2006">
      <mc:Choice Requires="x14">
        <control shapeId="25603" r:id="rId8" name="cmdOPTrend">
          <controlPr locked="0" defaultSize="0" autoLine="0" r:id="rId9">
            <anchor moveWithCells="1">
              <from>
                <xdr:col>8</xdr:col>
                <xdr:colOff>133350</xdr:colOff>
                <xdr:row>5</xdr:row>
                <xdr:rowOff>28575</xdr:rowOff>
              </from>
              <to>
                <xdr:col>9</xdr:col>
                <xdr:colOff>323850</xdr:colOff>
                <xdr:row>7</xdr:row>
                <xdr:rowOff>57150</xdr:rowOff>
              </to>
            </anchor>
          </controlPr>
        </control>
      </mc:Choice>
      <mc:Fallback>
        <control shapeId="25603" r:id="rId8" name="cmdOPTrend"/>
      </mc:Fallback>
    </mc:AlternateContent>
    <mc:AlternateContent xmlns:mc="http://schemas.openxmlformats.org/markup-compatibility/2006">
      <mc:Choice Requires="x14">
        <control shapeId="25604" r:id="rId10" name="cmdSave">
          <controlPr locked="0" defaultSize="0" autoLine="0" r:id="rId11">
            <anchor moveWithCells="1">
              <from>
                <xdr:col>9</xdr:col>
                <xdr:colOff>600075</xdr:colOff>
                <xdr:row>5</xdr:row>
                <xdr:rowOff>38100</xdr:rowOff>
              </from>
              <to>
                <xdr:col>11</xdr:col>
                <xdr:colOff>57150</xdr:colOff>
                <xdr:row>7</xdr:row>
                <xdr:rowOff>57150</xdr:rowOff>
              </to>
            </anchor>
          </controlPr>
        </control>
      </mc:Choice>
      <mc:Fallback>
        <control shapeId="25604" r:id="rId10" name="cmdSave"/>
      </mc:Fallback>
    </mc:AlternateContent>
    <mc:AlternateContent xmlns:mc="http://schemas.openxmlformats.org/markup-compatibility/2006">
      <mc:Choice Requires="x14">
        <control shapeId="25605" r:id="rId12" name="lbl_Audit">
          <controlPr defaultSize="0" autoFill="0" autoLine="0" r:id="rId13">
            <anchor moveWithCells="1">
              <from>
                <xdr:col>12</xdr:col>
                <xdr:colOff>581025</xdr:colOff>
                <xdr:row>23</xdr:row>
                <xdr:rowOff>28575</xdr:rowOff>
              </from>
              <to>
                <xdr:col>12</xdr:col>
                <xdr:colOff>733425</xdr:colOff>
                <xdr:row>24</xdr:row>
                <xdr:rowOff>0</xdr:rowOff>
              </to>
            </anchor>
          </controlPr>
        </control>
      </mc:Choice>
      <mc:Fallback>
        <control shapeId="25605" r:id="rId12" name="lbl_Audit"/>
      </mc:Fallback>
    </mc:AlternateContent>
    <mc:AlternateContent xmlns:mc="http://schemas.openxmlformats.org/markup-compatibility/2006">
      <mc:Choice Requires="x14">
        <control shapeId="25606" r:id="rId14" name="lbl_Xray_Outputs">
          <controlPr defaultSize="0" autoFill="0" autoLine="0" r:id="rId13">
            <anchor moveWithCells="1">
              <from>
                <xdr:col>12</xdr:col>
                <xdr:colOff>571500</xdr:colOff>
                <xdr:row>32</xdr:row>
                <xdr:rowOff>19050</xdr:rowOff>
              </from>
              <to>
                <xdr:col>12</xdr:col>
                <xdr:colOff>723900</xdr:colOff>
                <xdr:row>32</xdr:row>
                <xdr:rowOff>190500</xdr:rowOff>
              </to>
            </anchor>
          </controlPr>
        </control>
      </mc:Choice>
      <mc:Fallback>
        <control shapeId="25606" r:id="rId14" name="lbl_Xray_Outputs"/>
      </mc:Fallback>
    </mc:AlternateContent>
    <mc:AlternateContent xmlns:mc="http://schemas.openxmlformats.org/markup-compatibility/2006">
      <mc:Choice Requires="x14">
        <control shapeId="25607" r:id="rId15" name="lbl_Electron_Outputs">
          <controlPr defaultSize="0" autoFill="0" autoLine="0" r:id="rId13">
            <anchor moveWithCells="1">
              <from>
                <xdr:col>12</xdr:col>
                <xdr:colOff>581025</xdr:colOff>
                <xdr:row>102</xdr:row>
                <xdr:rowOff>28575</xdr:rowOff>
              </from>
              <to>
                <xdr:col>12</xdr:col>
                <xdr:colOff>733425</xdr:colOff>
                <xdr:row>103</xdr:row>
                <xdr:rowOff>0</xdr:rowOff>
              </to>
            </anchor>
          </controlPr>
        </control>
      </mc:Choice>
      <mc:Fallback>
        <control shapeId="25607" r:id="rId15" name="lbl_Electron_Outputs"/>
      </mc:Fallback>
    </mc:AlternateContent>
    <mc:AlternateContent xmlns:mc="http://schemas.openxmlformats.org/markup-compatibility/2006">
      <mc:Choice Requires="x14">
        <control shapeId="25608" r:id="rId16" name="lbl_MVD_Measurements">
          <controlPr defaultSize="0" autoFill="0" autoLine="0" r:id="rId13">
            <anchor moveWithCells="1">
              <from>
                <xdr:col>12</xdr:col>
                <xdr:colOff>581025</xdr:colOff>
                <xdr:row>121</xdr:row>
                <xdr:rowOff>28575</xdr:rowOff>
              </from>
              <to>
                <xdr:col>12</xdr:col>
                <xdr:colOff>733425</xdr:colOff>
                <xdr:row>122</xdr:row>
                <xdr:rowOff>0</xdr:rowOff>
              </to>
            </anchor>
          </controlPr>
        </control>
      </mc:Choice>
      <mc:Fallback>
        <control shapeId="25608" r:id="rId16" name="lbl_MVD_Measurements"/>
      </mc:Fallback>
    </mc:AlternateContent>
    <mc:AlternateContent xmlns:mc="http://schemas.openxmlformats.org/markup-compatibility/2006">
      <mc:Choice Requires="x14">
        <control shapeId="25609" r:id="rId17" name="lbl_Registration">
          <controlPr defaultSize="0" autoFill="0" autoLine="0" r:id="rId13">
            <anchor moveWithCells="1">
              <from>
                <xdr:col>12</xdr:col>
                <xdr:colOff>581025</xdr:colOff>
                <xdr:row>239</xdr:row>
                <xdr:rowOff>28575</xdr:rowOff>
              </from>
              <to>
                <xdr:col>12</xdr:col>
                <xdr:colOff>733425</xdr:colOff>
                <xdr:row>240</xdr:row>
                <xdr:rowOff>0</xdr:rowOff>
              </to>
            </anchor>
          </controlPr>
        </control>
      </mc:Choice>
      <mc:Fallback>
        <control shapeId="25609" r:id="rId17" name="lbl_Registration"/>
      </mc:Fallback>
    </mc:AlternateContent>
    <mc:AlternateContent xmlns:mc="http://schemas.openxmlformats.org/markup-compatibility/2006">
      <mc:Choice Requires="x14">
        <control shapeId="25610" r:id="rId18" name="lbl_Motion_Management">
          <controlPr defaultSize="0" autoFill="0" autoLine="0" r:id="rId13">
            <anchor moveWithCells="1">
              <from>
                <xdr:col>12</xdr:col>
                <xdr:colOff>581025</xdr:colOff>
                <xdr:row>272</xdr:row>
                <xdr:rowOff>28575</xdr:rowOff>
              </from>
              <to>
                <xdr:col>12</xdr:col>
                <xdr:colOff>733425</xdr:colOff>
                <xdr:row>273</xdr:row>
                <xdr:rowOff>0</xdr:rowOff>
              </to>
            </anchor>
          </controlPr>
        </control>
      </mc:Choice>
      <mc:Fallback>
        <control shapeId="25610" r:id="rId18" name="lbl_Motion_Management"/>
      </mc:Fallback>
    </mc:AlternateContent>
    <mc:AlternateContent xmlns:mc="http://schemas.openxmlformats.org/markup-compatibility/2006">
      <mc:Choice Requires="x14">
        <control shapeId="25611" r:id="rId19" name="lbl_KV_Planar">
          <controlPr defaultSize="0" autoFill="0" autoLine="0" r:id="rId13">
            <anchor moveWithCells="1">
              <from>
                <xdr:col>12</xdr:col>
                <xdr:colOff>581025</xdr:colOff>
                <xdr:row>292</xdr:row>
                <xdr:rowOff>28575</xdr:rowOff>
              </from>
              <to>
                <xdr:col>12</xdr:col>
                <xdr:colOff>733425</xdr:colOff>
                <xdr:row>293</xdr:row>
                <xdr:rowOff>0</xdr:rowOff>
              </to>
            </anchor>
          </controlPr>
        </control>
      </mc:Choice>
      <mc:Fallback>
        <control shapeId="25611" r:id="rId19" name="lbl_KV_Planar"/>
      </mc:Fallback>
    </mc:AlternateContent>
    <mc:AlternateContent xmlns:mc="http://schemas.openxmlformats.org/markup-compatibility/2006">
      <mc:Choice Requires="x14">
        <control shapeId="25612" r:id="rId20" name="lbl_CBCT">
          <controlPr defaultSize="0" autoFill="0" autoLine="0" r:id="rId13">
            <anchor moveWithCells="1">
              <from>
                <xdr:col>12</xdr:col>
                <xdr:colOff>581025</xdr:colOff>
                <xdr:row>339</xdr:row>
                <xdr:rowOff>28575</xdr:rowOff>
              </from>
              <to>
                <xdr:col>12</xdr:col>
                <xdr:colOff>733425</xdr:colOff>
                <xdr:row>340</xdr:row>
                <xdr:rowOff>0</xdr:rowOff>
              </to>
            </anchor>
          </controlPr>
        </control>
      </mc:Choice>
      <mc:Fallback>
        <control shapeId="25612" r:id="rId20" name="lbl_CBC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AN86"/>
  <sheetViews>
    <sheetView topLeftCell="A25" workbookViewId="0">
      <selection activeCell="J24" sqref="J24"/>
    </sheetView>
  </sheetViews>
  <sheetFormatPr defaultRowHeight="12.75" x14ac:dyDescent="0.2"/>
  <cols>
    <col min="1" max="36" width="10.7109375" customWidth="1"/>
  </cols>
  <sheetData>
    <row r="1" spans="1:21" s="188" customFormat="1" x14ac:dyDescent="0.2">
      <c r="A1" s="188" t="s">
        <v>429</v>
      </c>
      <c r="C1" s="188" t="s">
        <v>1</v>
      </c>
      <c r="D1" s="189" t="s">
        <v>14</v>
      </c>
      <c r="E1" s="188" t="s">
        <v>136</v>
      </c>
      <c r="L1" s="188" t="s">
        <v>139</v>
      </c>
      <c r="M1" s="188" t="s">
        <v>430</v>
      </c>
      <c r="O1" s="188" t="s">
        <v>431</v>
      </c>
      <c r="Q1" s="188" t="s">
        <v>432</v>
      </c>
      <c r="S1" s="188" t="s">
        <v>433</v>
      </c>
      <c r="U1" s="188" t="s">
        <v>471</v>
      </c>
    </row>
    <row r="2" spans="1:21" x14ac:dyDescent="0.2">
      <c r="A2" s="201" t="s">
        <v>526</v>
      </c>
      <c r="C2" t="s">
        <v>2</v>
      </c>
      <c r="D2" s="69">
        <v>2020</v>
      </c>
      <c r="E2" t="s">
        <v>110</v>
      </c>
      <c r="L2" s="69">
        <f>Main!M12</f>
        <v>2023</v>
      </c>
      <c r="M2" t="s">
        <v>22</v>
      </c>
      <c r="O2" s="111" t="s">
        <v>417</v>
      </c>
      <c r="Q2" t="s">
        <v>22</v>
      </c>
      <c r="S2" s="111" t="s">
        <v>91</v>
      </c>
      <c r="U2" s="111" t="s">
        <v>523</v>
      </c>
    </row>
    <row r="3" spans="1:21" x14ac:dyDescent="0.2">
      <c r="A3" t="s">
        <v>18</v>
      </c>
      <c r="C3" t="s">
        <v>3</v>
      </c>
      <c r="D3" s="69">
        <v>2021</v>
      </c>
      <c r="E3" t="s">
        <v>125</v>
      </c>
      <c r="M3" t="s">
        <v>23</v>
      </c>
      <c r="O3" s="111" t="s">
        <v>434</v>
      </c>
      <c r="Q3" t="s">
        <v>23</v>
      </c>
      <c r="S3" s="111" t="s">
        <v>92</v>
      </c>
      <c r="U3" s="111" t="s">
        <v>521</v>
      </c>
    </row>
    <row r="4" spans="1:21" x14ac:dyDescent="0.2">
      <c r="A4" t="s">
        <v>517</v>
      </c>
      <c r="C4" t="s">
        <v>4</v>
      </c>
      <c r="D4" s="69">
        <v>2022</v>
      </c>
      <c r="E4" t="s">
        <v>126</v>
      </c>
      <c r="M4" t="s">
        <v>112</v>
      </c>
      <c r="Q4" s="111" t="s">
        <v>186</v>
      </c>
      <c r="U4" s="111" t="s">
        <v>524</v>
      </c>
    </row>
    <row r="5" spans="1:21" x14ac:dyDescent="0.2">
      <c r="A5" t="s">
        <v>21</v>
      </c>
      <c r="C5" t="s">
        <v>5</v>
      </c>
      <c r="D5" s="69">
        <v>2023</v>
      </c>
      <c r="E5" t="s">
        <v>107</v>
      </c>
      <c r="M5" s="111"/>
      <c r="U5" s="111" t="s">
        <v>520</v>
      </c>
    </row>
    <row r="6" spans="1:21" x14ac:dyDescent="0.2">
      <c r="A6" s="111" t="s">
        <v>505</v>
      </c>
      <c r="C6" t="s">
        <v>6</v>
      </c>
      <c r="D6" s="69">
        <v>2024</v>
      </c>
      <c r="E6" t="s">
        <v>108</v>
      </c>
      <c r="J6" s="111"/>
      <c r="U6" s="201" t="s">
        <v>166</v>
      </c>
    </row>
    <row r="7" spans="1:21" x14ac:dyDescent="0.2">
      <c r="A7" s="111" t="s">
        <v>522</v>
      </c>
      <c r="C7" t="s">
        <v>7</v>
      </c>
      <c r="D7" s="69">
        <v>2025</v>
      </c>
      <c r="E7" t="s">
        <v>109</v>
      </c>
    </row>
    <row r="8" spans="1:21" x14ac:dyDescent="0.2">
      <c r="A8" t="s">
        <v>19</v>
      </c>
      <c r="C8" t="s">
        <v>8</v>
      </c>
      <c r="D8" s="69">
        <v>2026</v>
      </c>
      <c r="E8" t="s">
        <v>135</v>
      </c>
    </row>
    <row r="9" spans="1:21" x14ac:dyDescent="0.2">
      <c r="A9" t="s">
        <v>469</v>
      </c>
      <c r="C9" t="s">
        <v>9</v>
      </c>
      <c r="D9" s="69">
        <v>2027</v>
      </c>
      <c r="E9" t="str">
        <f>E8&amp; "\" &amp;L2&amp;"\Physicist Monthly"</f>
        <v>H:\Physics\Vicc\QA\Reports\2023\Physicist Monthly</v>
      </c>
    </row>
    <row r="10" spans="1:21" x14ac:dyDescent="0.2">
      <c r="A10" t="s">
        <v>17</v>
      </c>
      <c r="C10" t="s">
        <v>10</v>
      </c>
      <c r="D10" s="69">
        <v>2028</v>
      </c>
    </row>
    <row r="11" spans="1:21" x14ac:dyDescent="0.2">
      <c r="A11" s="111" t="s">
        <v>527</v>
      </c>
      <c r="C11" t="s">
        <v>11</v>
      </c>
      <c r="D11" s="69">
        <v>2029</v>
      </c>
      <c r="J11" s="111"/>
    </row>
    <row r="12" spans="1:21" x14ac:dyDescent="0.2">
      <c r="A12" t="s">
        <v>20</v>
      </c>
      <c r="C12" t="s">
        <v>12</v>
      </c>
      <c r="D12" s="69">
        <v>2030</v>
      </c>
    </row>
    <row r="13" spans="1:21" x14ac:dyDescent="0.2">
      <c r="A13" s="201" t="s">
        <v>513</v>
      </c>
      <c r="C13" t="s">
        <v>13</v>
      </c>
      <c r="D13" s="69">
        <v>2031</v>
      </c>
    </row>
    <row r="20" spans="1:40" x14ac:dyDescent="0.2">
      <c r="A20" s="188" t="s">
        <v>481</v>
      </c>
      <c r="B20" s="188"/>
      <c r="C20" s="188" t="s">
        <v>435</v>
      </c>
      <c r="D20" s="188"/>
      <c r="E20" s="188" t="s">
        <v>486</v>
      </c>
      <c r="F20" s="188"/>
      <c r="G20" s="188" t="s">
        <v>436</v>
      </c>
      <c r="H20" s="188"/>
      <c r="I20" s="188" t="s">
        <v>437</v>
      </c>
      <c r="J20" s="188"/>
      <c r="K20" s="188"/>
      <c r="L20" s="188"/>
      <c r="M20" s="188"/>
      <c r="N20" s="188"/>
      <c r="O20" s="188"/>
      <c r="P20" s="188"/>
      <c r="Q20" s="188"/>
      <c r="R20" s="188"/>
      <c r="S20" s="188"/>
    </row>
    <row r="21" spans="1:40" x14ac:dyDescent="0.2">
      <c r="A21" t="s">
        <v>127</v>
      </c>
      <c r="B21" s="69"/>
      <c r="C21" s="86" t="s">
        <v>438</v>
      </c>
      <c r="D21" s="69"/>
      <c r="E21" s="259" t="s">
        <v>487</v>
      </c>
      <c r="F21" s="259"/>
      <c r="G21" s="259">
        <v>1236</v>
      </c>
      <c r="H21" s="259"/>
      <c r="I21" s="262">
        <v>41092</v>
      </c>
      <c r="J21" s="69"/>
      <c r="K21" s="69"/>
      <c r="L21" s="69"/>
      <c r="M21" s="69"/>
      <c r="N21" s="69"/>
      <c r="O21" s="260"/>
      <c r="P21" s="69"/>
      <c r="Q21" s="69"/>
      <c r="R21" s="69"/>
      <c r="S21" s="69"/>
    </row>
    <row r="22" spans="1:40" x14ac:dyDescent="0.2">
      <c r="A22" t="s">
        <v>128</v>
      </c>
      <c r="C22" s="86" t="s">
        <v>438</v>
      </c>
      <c r="E22" s="259" t="s">
        <v>487</v>
      </c>
      <c r="F22" s="259"/>
      <c r="G22" s="259">
        <v>1317</v>
      </c>
      <c r="H22" s="261"/>
      <c r="I22" s="262">
        <v>41204</v>
      </c>
      <c r="O22" s="260"/>
    </row>
    <row r="23" spans="1:40" x14ac:dyDescent="0.2">
      <c r="A23" t="s">
        <v>131</v>
      </c>
      <c r="C23" s="86" t="s">
        <v>438</v>
      </c>
      <c r="E23" s="259" t="s">
        <v>487</v>
      </c>
      <c r="F23" s="259"/>
      <c r="G23" s="259">
        <v>1394</v>
      </c>
      <c r="H23" s="261"/>
      <c r="I23" s="262">
        <v>41337</v>
      </c>
      <c r="O23" s="260"/>
    </row>
    <row r="24" spans="1:40" x14ac:dyDescent="0.2">
      <c r="A24" t="s">
        <v>132</v>
      </c>
      <c r="C24" s="86" t="s">
        <v>438</v>
      </c>
      <c r="E24" s="259" t="s">
        <v>487</v>
      </c>
      <c r="F24" s="259"/>
      <c r="G24" s="259">
        <v>1550</v>
      </c>
      <c r="H24" s="261"/>
      <c r="I24" s="262">
        <v>41575</v>
      </c>
      <c r="O24" s="260"/>
    </row>
    <row r="25" spans="1:40" x14ac:dyDescent="0.2">
      <c r="A25" t="s">
        <v>133</v>
      </c>
      <c r="C25" s="86" t="s">
        <v>438</v>
      </c>
      <c r="E25" s="259" t="s">
        <v>487</v>
      </c>
      <c r="F25" s="259"/>
      <c r="G25" s="259">
        <v>1468</v>
      </c>
      <c r="H25" s="261"/>
      <c r="I25" s="262">
        <v>41450</v>
      </c>
      <c r="O25" s="260"/>
    </row>
    <row r="26" spans="1:40" x14ac:dyDescent="0.2">
      <c r="A26" t="s">
        <v>134</v>
      </c>
      <c r="C26" s="86" t="s">
        <v>438</v>
      </c>
      <c r="E26" s="259" t="s">
        <v>487</v>
      </c>
      <c r="F26" s="259"/>
      <c r="G26" s="259">
        <v>1653</v>
      </c>
      <c r="H26" s="261"/>
      <c r="I26" s="262">
        <v>41799</v>
      </c>
      <c r="O26" s="260"/>
      <c r="R26" s="188"/>
    </row>
    <row r="27" spans="1:40" x14ac:dyDescent="0.2">
      <c r="R27" s="188"/>
    </row>
    <row r="29" spans="1:40" x14ac:dyDescent="0.2">
      <c r="W29" s="188"/>
      <c r="X29" s="188"/>
    </row>
    <row r="30" spans="1:40" ht="14.25" x14ac:dyDescent="0.25">
      <c r="A30" s="189" t="s">
        <v>29</v>
      </c>
      <c r="B30" s="189" t="s">
        <v>113</v>
      </c>
      <c r="C30" s="189" t="s">
        <v>439</v>
      </c>
      <c r="D30" s="189" t="s">
        <v>130</v>
      </c>
      <c r="E30" s="190" t="s">
        <v>480</v>
      </c>
      <c r="F30" s="188"/>
      <c r="G30" s="189" t="s">
        <v>29</v>
      </c>
      <c r="H30" s="189" t="s">
        <v>113</v>
      </c>
      <c r="I30" s="189" t="s">
        <v>439</v>
      </c>
      <c r="J30" s="189" t="s">
        <v>130</v>
      </c>
      <c r="K30" s="6" t="s">
        <v>480</v>
      </c>
      <c r="L30" s="189"/>
      <c r="M30" s="189" t="s">
        <v>36</v>
      </c>
      <c r="N30" s="189" t="s">
        <v>113</v>
      </c>
      <c r="O30" s="189" t="s">
        <v>440</v>
      </c>
      <c r="P30" s="189" t="s">
        <v>130</v>
      </c>
      <c r="Q30" s="188"/>
      <c r="R30" s="189"/>
      <c r="S30" s="188" t="s">
        <v>483</v>
      </c>
      <c r="T30" s="188"/>
      <c r="U30" s="188"/>
      <c r="V30" s="188"/>
      <c r="W30" s="188"/>
      <c r="X30" s="188"/>
      <c r="AA30" s="189" t="s">
        <v>484</v>
      </c>
      <c r="AB30" s="69"/>
      <c r="AC30" s="69"/>
      <c r="AD30" s="69"/>
      <c r="AE30" s="69"/>
      <c r="AF30" s="69"/>
      <c r="AG30" s="69"/>
    </row>
    <row r="31" spans="1:40" x14ac:dyDescent="0.2">
      <c r="A31" s="69" t="s">
        <v>307</v>
      </c>
      <c r="B31" s="70" t="s">
        <v>308</v>
      </c>
      <c r="C31" s="76" t="s">
        <v>710</v>
      </c>
      <c r="D31" s="75">
        <v>44715</v>
      </c>
      <c r="E31" s="169" t="e">
        <f t="shared" ref="E31:E36" si="0">C31/$C$31</f>
        <v>#VALUE!</v>
      </c>
      <c r="G31" s="69" t="s">
        <v>35</v>
      </c>
      <c r="H31" s="70" t="s">
        <v>115</v>
      </c>
      <c r="I31" s="129" t="s">
        <v>716</v>
      </c>
      <c r="J31" s="200">
        <v>43181</v>
      </c>
      <c r="K31" s="169" t="e">
        <f>I31/$I$31</f>
        <v>#VALUE!</v>
      </c>
      <c r="L31" s="75"/>
      <c r="M31" s="69" t="s">
        <v>116</v>
      </c>
      <c r="N31" s="70">
        <v>50095</v>
      </c>
      <c r="O31" s="76" t="s">
        <v>720</v>
      </c>
      <c r="P31" s="75">
        <v>40879</v>
      </c>
      <c r="R31" s="69"/>
      <c r="S31" s="135" t="s">
        <v>481</v>
      </c>
      <c r="T31" s="135" t="s">
        <v>482</v>
      </c>
      <c r="U31" s="135">
        <v>6</v>
      </c>
      <c r="V31" s="135">
        <v>10</v>
      </c>
      <c r="W31" s="135">
        <v>15</v>
      </c>
      <c r="X31" s="135" t="s">
        <v>137</v>
      </c>
      <c r="AA31" s="135" t="s">
        <v>481</v>
      </c>
      <c r="AB31" s="135" t="s">
        <v>482</v>
      </c>
      <c r="AC31" s="135" t="s">
        <v>175</v>
      </c>
      <c r="AD31" s="135" t="s">
        <v>176</v>
      </c>
      <c r="AE31" s="135" t="s">
        <v>177</v>
      </c>
      <c r="AF31" s="135" t="s">
        <v>178</v>
      </c>
      <c r="AG31" s="135" t="s">
        <v>179</v>
      </c>
    </row>
    <row r="32" spans="1:40" x14ac:dyDescent="0.2">
      <c r="A32" s="69" t="s">
        <v>34</v>
      </c>
      <c r="B32" s="70">
        <v>1905</v>
      </c>
      <c r="C32" s="76" t="s">
        <v>711</v>
      </c>
      <c r="D32" s="75">
        <v>43154</v>
      </c>
      <c r="E32" s="169" t="e">
        <f t="shared" si="0"/>
        <v>#VALUE!</v>
      </c>
      <c r="G32" s="69" t="s">
        <v>31</v>
      </c>
      <c r="H32" s="70" t="s">
        <v>114</v>
      </c>
      <c r="I32" s="129" t="s">
        <v>717</v>
      </c>
      <c r="J32" s="200">
        <v>43159</v>
      </c>
      <c r="K32" s="169" t="e">
        <f>I32/$I$31</f>
        <v>#VALUE!</v>
      </c>
      <c r="L32" s="75"/>
      <c r="M32" s="69" t="s">
        <v>117</v>
      </c>
      <c r="N32" s="70" t="s">
        <v>120</v>
      </c>
      <c r="O32" s="76" t="s">
        <v>721</v>
      </c>
      <c r="P32" s="75">
        <v>36861</v>
      </c>
      <c r="R32" s="69"/>
      <c r="S32" s="69" t="s">
        <v>127</v>
      </c>
      <c r="T32" s="76" t="s">
        <v>307</v>
      </c>
      <c r="U32" s="69" t="s">
        <v>725</v>
      </c>
      <c r="V32" s="86" t="s">
        <v>726</v>
      </c>
      <c r="W32" s="129" t="s">
        <v>727</v>
      </c>
      <c r="X32" s="129" t="s">
        <v>728</v>
      </c>
      <c r="AA32" s="69" t="s">
        <v>127</v>
      </c>
      <c r="AB32" s="69" t="s">
        <v>35</v>
      </c>
      <c r="AC32" s="74" t="s">
        <v>749</v>
      </c>
      <c r="AD32" s="74" t="s">
        <v>750</v>
      </c>
      <c r="AE32" s="74" t="s">
        <v>751</v>
      </c>
      <c r="AF32" s="74" t="s">
        <v>752</v>
      </c>
      <c r="AG32" s="74" t="s">
        <v>753</v>
      </c>
      <c r="AJ32" s="74"/>
      <c r="AK32" s="74"/>
      <c r="AL32" s="74"/>
      <c r="AM32" s="74"/>
      <c r="AN32" s="74"/>
    </row>
    <row r="33" spans="1:40" x14ac:dyDescent="0.2">
      <c r="A33" s="69" t="s">
        <v>33</v>
      </c>
      <c r="B33" s="70">
        <v>2215</v>
      </c>
      <c r="C33" s="76" t="s">
        <v>712</v>
      </c>
      <c r="D33" s="75">
        <v>43154</v>
      </c>
      <c r="E33" s="169" t="e">
        <f t="shared" si="0"/>
        <v>#VALUE!</v>
      </c>
      <c r="G33" s="69" t="s">
        <v>181</v>
      </c>
      <c r="H33" s="69">
        <v>4249</v>
      </c>
      <c r="I33" s="129" t="s">
        <v>718</v>
      </c>
      <c r="J33" s="200">
        <v>43159</v>
      </c>
      <c r="K33" s="169" t="e">
        <f>I33/$I$31</f>
        <v>#VALUE!</v>
      </c>
      <c r="L33" s="75"/>
      <c r="M33" s="69" t="s">
        <v>118</v>
      </c>
      <c r="N33" s="70" t="s">
        <v>121</v>
      </c>
      <c r="O33" s="76" t="s">
        <v>722</v>
      </c>
      <c r="P33" s="75">
        <v>36861</v>
      </c>
      <c r="S33" s="69" t="s">
        <v>128</v>
      </c>
      <c r="T33" s="76" t="s">
        <v>307</v>
      </c>
      <c r="U33" s="69" t="s">
        <v>729</v>
      </c>
      <c r="V33" s="86" t="s">
        <v>730</v>
      </c>
      <c r="W33" s="129" t="s">
        <v>731</v>
      </c>
      <c r="X33" s="129" t="s">
        <v>732</v>
      </c>
      <c r="AA33" s="69" t="s">
        <v>128</v>
      </c>
      <c r="AB33" s="69" t="s">
        <v>35</v>
      </c>
      <c r="AC33" s="74" t="s">
        <v>754</v>
      </c>
      <c r="AD33" s="74" t="s">
        <v>755</v>
      </c>
      <c r="AE33" s="74" t="s">
        <v>756</v>
      </c>
      <c r="AF33" s="74" t="s">
        <v>757</v>
      </c>
      <c r="AG33" s="74" t="s">
        <v>758</v>
      </c>
      <c r="AJ33" s="74"/>
      <c r="AK33" s="74"/>
      <c r="AL33" s="74"/>
      <c r="AM33" s="74"/>
      <c r="AN33" s="74"/>
    </row>
    <row r="34" spans="1:40" x14ac:dyDescent="0.2">
      <c r="A34" s="69" t="s">
        <v>32</v>
      </c>
      <c r="B34" s="70">
        <v>2216</v>
      </c>
      <c r="C34" s="76" t="s">
        <v>713</v>
      </c>
      <c r="D34" s="75">
        <v>43154</v>
      </c>
      <c r="E34" s="169" t="e">
        <f t="shared" si="0"/>
        <v>#VALUE!</v>
      </c>
      <c r="G34" s="69" t="s">
        <v>182</v>
      </c>
      <c r="H34" s="69">
        <v>1305</v>
      </c>
      <c r="I34" s="129" t="s">
        <v>719</v>
      </c>
      <c r="J34" s="200">
        <v>43159</v>
      </c>
      <c r="K34" s="169" t="e">
        <f>I34/$I$31</f>
        <v>#VALUE!</v>
      </c>
      <c r="L34" s="75"/>
      <c r="M34" s="69" t="s">
        <v>119</v>
      </c>
      <c r="N34" s="70" t="s">
        <v>122</v>
      </c>
      <c r="O34" s="76" t="s">
        <v>723</v>
      </c>
      <c r="P34" s="75">
        <v>36861</v>
      </c>
      <c r="S34" s="69" t="s">
        <v>131</v>
      </c>
      <c r="T34" s="76" t="s">
        <v>307</v>
      </c>
      <c r="U34" s="69" t="s">
        <v>733</v>
      </c>
      <c r="V34" s="86" t="s">
        <v>734</v>
      </c>
      <c r="W34" s="129" t="s">
        <v>735</v>
      </c>
      <c r="X34" s="129" t="s">
        <v>736</v>
      </c>
      <c r="AA34" s="69" t="s">
        <v>131</v>
      </c>
      <c r="AB34" s="69" t="s">
        <v>35</v>
      </c>
      <c r="AC34" s="74" t="s">
        <v>759</v>
      </c>
      <c r="AD34" s="74" t="s">
        <v>760</v>
      </c>
      <c r="AE34" s="74" t="s">
        <v>761</v>
      </c>
      <c r="AF34" s="74" t="s">
        <v>762</v>
      </c>
      <c r="AG34" s="74" t="s">
        <v>763</v>
      </c>
      <c r="AJ34" s="74"/>
      <c r="AK34" s="74"/>
      <c r="AL34" s="74"/>
      <c r="AM34" s="74"/>
      <c r="AN34" s="74"/>
    </row>
    <row r="35" spans="1:40" x14ac:dyDescent="0.2">
      <c r="A35" s="69" t="s">
        <v>30</v>
      </c>
      <c r="B35" s="69">
        <v>2217</v>
      </c>
      <c r="C35" s="76" t="s">
        <v>714</v>
      </c>
      <c r="D35" s="75">
        <v>43154</v>
      </c>
      <c r="E35" s="169" t="e">
        <f t="shared" si="0"/>
        <v>#VALUE!</v>
      </c>
      <c r="M35" s="69" t="s">
        <v>224</v>
      </c>
      <c r="N35" s="70" t="s">
        <v>226</v>
      </c>
      <c r="O35" s="76" t="s">
        <v>724</v>
      </c>
      <c r="P35" s="69" t="s">
        <v>225</v>
      </c>
      <c r="S35" s="69" t="s">
        <v>132</v>
      </c>
      <c r="T35" s="76" t="s">
        <v>307</v>
      </c>
      <c r="U35" s="69" t="s">
        <v>737</v>
      </c>
      <c r="V35" s="69" t="s">
        <v>738</v>
      </c>
      <c r="W35" s="69" t="s">
        <v>739</v>
      </c>
      <c r="X35" s="69" t="s">
        <v>740</v>
      </c>
    </row>
    <row r="36" spans="1:40" x14ac:dyDescent="0.2">
      <c r="A36" s="69" t="s">
        <v>129</v>
      </c>
      <c r="B36" s="69">
        <v>2359</v>
      </c>
      <c r="C36" s="76" t="s">
        <v>715</v>
      </c>
      <c r="D36" s="75">
        <v>43154</v>
      </c>
      <c r="E36" s="169" t="e">
        <f t="shared" si="0"/>
        <v>#VALUE!</v>
      </c>
      <c r="G36" s="69"/>
      <c r="H36" s="70"/>
      <c r="I36" s="74"/>
      <c r="J36" s="69"/>
      <c r="K36" s="69"/>
      <c r="L36" s="69"/>
      <c r="S36" s="69" t="s">
        <v>133</v>
      </c>
      <c r="T36" s="69" t="s">
        <v>307</v>
      </c>
      <c r="U36" s="69" t="s">
        <v>741</v>
      </c>
      <c r="V36" s="69" t="s">
        <v>742</v>
      </c>
      <c r="W36" s="69" t="s">
        <v>743</v>
      </c>
      <c r="X36" s="69" t="s">
        <v>744</v>
      </c>
    </row>
    <row r="37" spans="1:40" x14ac:dyDescent="0.2">
      <c r="A37" s="69"/>
      <c r="B37" s="70"/>
      <c r="C37" s="76"/>
      <c r="D37" s="75"/>
      <c r="E37" s="169"/>
      <c r="S37" s="86" t="s">
        <v>134</v>
      </c>
      <c r="T37" s="129" t="s">
        <v>307</v>
      </c>
      <c r="U37" s="69" t="s">
        <v>745</v>
      </c>
      <c r="V37" s="69" t="s">
        <v>746</v>
      </c>
      <c r="W37" s="69" t="s">
        <v>747</v>
      </c>
      <c r="X37" s="69" t="s">
        <v>748</v>
      </c>
    </row>
    <row r="38" spans="1:40" x14ac:dyDescent="0.2">
      <c r="C38" s="76"/>
      <c r="D38" s="284"/>
      <c r="E38" s="169"/>
      <c r="V38" s="86"/>
      <c r="W38" s="129"/>
      <c r="X38" s="129"/>
    </row>
    <row r="39" spans="1:40" x14ac:dyDescent="0.2">
      <c r="C39" s="76"/>
      <c r="D39" s="284"/>
      <c r="E39" s="169"/>
      <c r="G39" s="284"/>
      <c r="I39" s="285"/>
      <c r="U39" s="69"/>
      <c r="V39" s="86"/>
      <c r="W39" s="129"/>
      <c r="X39" s="129"/>
    </row>
    <row r="40" spans="1:40" x14ac:dyDescent="0.2">
      <c r="C40" s="76"/>
      <c r="D40" s="284"/>
      <c r="E40" s="169"/>
      <c r="G40" s="284"/>
      <c r="I40" s="285"/>
      <c r="U40" s="69"/>
      <c r="V40" s="86"/>
      <c r="W40" s="129"/>
      <c r="X40" s="129"/>
    </row>
    <row r="41" spans="1:40" x14ac:dyDescent="0.2">
      <c r="C41" s="76"/>
      <c r="D41" s="284"/>
      <c r="E41" s="169"/>
      <c r="G41" s="284"/>
      <c r="I41" s="285"/>
      <c r="U41" s="69"/>
      <c r="V41" s="86"/>
      <c r="W41" s="129"/>
      <c r="X41" s="129"/>
    </row>
    <row r="42" spans="1:40" x14ac:dyDescent="0.2">
      <c r="C42" s="76"/>
      <c r="D42" s="284"/>
      <c r="E42" s="169"/>
      <c r="G42" s="284"/>
      <c r="I42" s="285"/>
      <c r="U42" s="69"/>
      <c r="V42" s="69"/>
      <c r="W42" s="69"/>
      <c r="X42" s="69"/>
    </row>
    <row r="43" spans="1:40" x14ac:dyDescent="0.2">
      <c r="C43" s="76"/>
      <c r="D43" s="284"/>
      <c r="E43" s="169"/>
      <c r="G43" s="284"/>
      <c r="I43" s="285"/>
      <c r="U43" s="69"/>
      <c r="V43" s="69"/>
      <c r="W43" s="69"/>
      <c r="X43" s="69"/>
    </row>
    <row r="44" spans="1:40" x14ac:dyDescent="0.2">
      <c r="U44" s="69"/>
      <c r="V44" s="69"/>
      <c r="W44" s="69"/>
      <c r="X44" s="69"/>
    </row>
    <row r="50" spans="1:35" s="192" customFormat="1" x14ac:dyDescent="0.2">
      <c r="A50" s="189" t="s">
        <v>54</v>
      </c>
      <c r="B50" s="189"/>
      <c r="C50" s="189"/>
      <c r="D50" s="189" t="s">
        <v>138</v>
      </c>
      <c r="E50" s="189"/>
      <c r="F50" s="189"/>
      <c r="G50" s="189"/>
      <c r="H50" s="189"/>
      <c r="I50" s="189"/>
      <c r="J50" s="189" t="s">
        <v>148</v>
      </c>
      <c r="K50" s="191"/>
      <c r="L50" s="191"/>
      <c r="N50" s="189" t="s">
        <v>257</v>
      </c>
      <c r="O50" s="191"/>
      <c r="P50" s="191"/>
      <c r="Q50" s="191"/>
      <c r="U50" s="189" t="s">
        <v>382</v>
      </c>
      <c r="V50" s="193"/>
      <c r="W50" s="193"/>
      <c r="X50" s="193"/>
      <c r="Y50" s="193"/>
      <c r="Z50" s="193"/>
      <c r="AA50" s="193"/>
      <c r="AB50" s="193"/>
      <c r="AE50" s="188" t="s">
        <v>445</v>
      </c>
      <c r="AI50" s="188" t="s">
        <v>447</v>
      </c>
    </row>
    <row r="51" spans="1:35" x14ac:dyDescent="0.2">
      <c r="A51" s="69" t="s">
        <v>38</v>
      </c>
      <c r="B51" s="69" t="s">
        <v>52</v>
      </c>
      <c r="C51" s="69"/>
      <c r="D51" s="69" t="s">
        <v>38</v>
      </c>
      <c r="E51" s="69" t="s">
        <v>60</v>
      </c>
      <c r="F51" s="69" t="s">
        <v>59</v>
      </c>
      <c r="G51" s="86" t="s">
        <v>60</v>
      </c>
      <c r="H51" s="69" t="s">
        <v>357</v>
      </c>
      <c r="I51" s="69"/>
      <c r="J51" t="s">
        <v>318</v>
      </c>
      <c r="K51" s="168" t="s">
        <v>319</v>
      </c>
      <c r="L51" s="168" t="s">
        <v>320</v>
      </c>
      <c r="N51" s="140" t="s">
        <v>210</v>
      </c>
      <c r="O51" s="140" t="s">
        <v>258</v>
      </c>
      <c r="P51" s="141" t="s">
        <v>216</v>
      </c>
      <c r="Q51" s="142" t="s">
        <v>259</v>
      </c>
      <c r="R51" s="142" t="s">
        <v>223</v>
      </c>
      <c r="S51" s="142" t="s">
        <v>260</v>
      </c>
      <c r="U51" s="135" t="s">
        <v>38</v>
      </c>
      <c r="V51" s="135" t="s">
        <v>49</v>
      </c>
      <c r="W51" s="135" t="s">
        <v>348</v>
      </c>
      <c r="X51" s="135" t="s">
        <v>369</v>
      </c>
      <c r="Y51" s="135"/>
      <c r="Z51" s="135" t="s">
        <v>377</v>
      </c>
      <c r="AA51" s="135" t="s">
        <v>373</v>
      </c>
      <c r="AB51" s="135" t="s">
        <v>374</v>
      </c>
      <c r="AC51" s="135" t="s">
        <v>274</v>
      </c>
      <c r="AE51" s="135" t="s">
        <v>38</v>
      </c>
      <c r="AF51" s="135" t="s">
        <v>223</v>
      </c>
      <c r="AG51" s="135" t="s">
        <v>446</v>
      </c>
      <c r="AI51" s="135" t="s">
        <v>374</v>
      </c>
    </row>
    <row r="52" spans="1:35" x14ac:dyDescent="0.2">
      <c r="A52" s="69">
        <v>6</v>
      </c>
      <c r="B52" s="69">
        <v>0.65500000000000003</v>
      </c>
      <c r="C52" s="69"/>
      <c r="D52" s="69">
        <v>6</v>
      </c>
      <c r="E52" s="74">
        <v>1.5</v>
      </c>
      <c r="F52" s="69">
        <v>0.77100000000000002</v>
      </c>
      <c r="G52" s="69">
        <v>2.5</v>
      </c>
      <c r="H52" s="69">
        <v>0.78400000000000003</v>
      </c>
      <c r="I52" s="69"/>
      <c r="J52" s="86" t="s">
        <v>143</v>
      </c>
      <c r="K52" s="102">
        <v>7.46E-2</v>
      </c>
      <c r="L52" s="102">
        <v>6.6000000000000003E-2</v>
      </c>
      <c r="N52" s="86" t="s">
        <v>261</v>
      </c>
      <c r="O52" s="86" t="s">
        <v>214</v>
      </c>
      <c r="P52" s="86" t="s">
        <v>215</v>
      </c>
      <c r="Q52" s="69">
        <v>100</v>
      </c>
      <c r="R52" s="69">
        <v>300</v>
      </c>
      <c r="S52" s="76">
        <v>0.23</v>
      </c>
      <c r="U52" s="86" t="s">
        <v>375</v>
      </c>
      <c r="V52" s="86" t="s">
        <v>372</v>
      </c>
      <c r="W52" s="86" t="s">
        <v>380</v>
      </c>
      <c r="X52" s="178" t="s">
        <v>370</v>
      </c>
      <c r="Y52" s="178"/>
      <c r="Z52" s="178" t="s">
        <v>378</v>
      </c>
      <c r="AA52" s="129">
        <v>0.75</v>
      </c>
      <c r="AB52" s="129">
        <v>1</v>
      </c>
      <c r="AC52" s="129">
        <v>750</v>
      </c>
      <c r="AE52" s="129">
        <v>75</v>
      </c>
      <c r="AF52" s="129">
        <v>0.5</v>
      </c>
      <c r="AG52" s="129">
        <v>33</v>
      </c>
      <c r="AI52" s="129">
        <v>0.8</v>
      </c>
    </row>
    <row r="53" spans="1:35" x14ac:dyDescent="0.2">
      <c r="A53" s="69">
        <v>10</v>
      </c>
      <c r="B53" s="69">
        <v>0.69599999999999995</v>
      </c>
      <c r="C53" s="69"/>
      <c r="D53" s="69">
        <v>10</v>
      </c>
      <c r="E53" s="74">
        <v>2.5</v>
      </c>
      <c r="F53" s="69">
        <v>0.84099999999999997</v>
      </c>
      <c r="G53" s="69">
        <v>2.5</v>
      </c>
      <c r="H53" s="69">
        <v>0.84099999999999997</v>
      </c>
      <c r="I53" s="69"/>
      <c r="J53" s="86" t="s">
        <v>155</v>
      </c>
      <c r="K53" s="101">
        <v>0.93</v>
      </c>
      <c r="L53" s="101">
        <v>0.92700000000000005</v>
      </c>
      <c r="N53" s="86" t="s">
        <v>211</v>
      </c>
      <c r="O53" s="86" t="s">
        <v>214</v>
      </c>
      <c r="P53" s="86" t="s">
        <v>215</v>
      </c>
      <c r="Q53" s="69">
        <v>125</v>
      </c>
      <c r="R53" s="69">
        <v>750</v>
      </c>
      <c r="S53" s="76">
        <v>1.06</v>
      </c>
      <c r="U53" s="86" t="s">
        <v>376</v>
      </c>
      <c r="V53" s="86" t="s">
        <v>424</v>
      </c>
      <c r="W53" s="86" t="s">
        <v>381</v>
      </c>
      <c r="X53" s="129" t="s">
        <v>371</v>
      </c>
      <c r="Y53" s="129"/>
      <c r="Z53" s="178" t="s">
        <v>503</v>
      </c>
      <c r="AA53" s="129">
        <v>1.8</v>
      </c>
      <c r="AB53" s="129">
        <v>2.6</v>
      </c>
      <c r="AC53" s="129">
        <v>20</v>
      </c>
      <c r="AE53" s="129">
        <v>125</v>
      </c>
      <c r="AF53" s="129">
        <v>0.5</v>
      </c>
      <c r="AG53" s="129">
        <v>89</v>
      </c>
    </row>
    <row r="54" spans="1:35" x14ac:dyDescent="0.2">
      <c r="A54" s="69">
        <v>15</v>
      </c>
      <c r="B54" s="69">
        <v>0.71199999999999997</v>
      </c>
      <c r="C54" s="69"/>
      <c r="D54" s="69" t="s">
        <v>137</v>
      </c>
      <c r="E54" s="74">
        <v>2.5</v>
      </c>
      <c r="F54" s="69">
        <v>0.80800000000000005</v>
      </c>
      <c r="G54" s="69">
        <v>2.5</v>
      </c>
      <c r="H54" s="69">
        <v>0.80800000000000005</v>
      </c>
      <c r="I54" s="69"/>
      <c r="J54" s="85" t="s">
        <v>316</v>
      </c>
      <c r="K54" s="103">
        <v>0.626</v>
      </c>
      <c r="L54" s="167">
        <v>0.626</v>
      </c>
      <c r="N54" s="86" t="s">
        <v>212</v>
      </c>
      <c r="O54" s="86" t="s">
        <v>215</v>
      </c>
      <c r="P54" s="86" t="s">
        <v>214</v>
      </c>
      <c r="Q54" s="69">
        <v>125</v>
      </c>
      <c r="R54" s="69">
        <v>270</v>
      </c>
      <c r="S54" s="76">
        <v>0.28000000000000003</v>
      </c>
      <c r="U54" s="86" t="s">
        <v>376</v>
      </c>
      <c r="V54" s="86" t="s">
        <v>379</v>
      </c>
      <c r="W54" s="86" t="s">
        <v>355</v>
      </c>
      <c r="X54" s="129" t="s">
        <v>371</v>
      </c>
      <c r="Y54" s="69"/>
      <c r="Z54" s="178" t="s">
        <v>504</v>
      </c>
      <c r="AA54" s="274">
        <v>1.8</v>
      </c>
      <c r="AB54" s="274">
        <v>2.7</v>
      </c>
      <c r="AC54" s="274">
        <v>13</v>
      </c>
    </row>
    <row r="55" spans="1:35" x14ac:dyDescent="0.2">
      <c r="A55" s="69"/>
      <c r="B55" s="69"/>
      <c r="C55" s="69"/>
      <c r="D55" s="69">
        <v>15</v>
      </c>
      <c r="E55" s="74">
        <v>3</v>
      </c>
      <c r="F55" s="69">
        <v>0.872</v>
      </c>
      <c r="G55" s="69">
        <v>2.5</v>
      </c>
      <c r="H55" s="69">
        <v>0.879</v>
      </c>
      <c r="I55" s="69"/>
      <c r="J55" s="85" t="s">
        <v>317</v>
      </c>
      <c r="K55" s="103">
        <v>0.23400000000000001</v>
      </c>
      <c r="L55" s="167">
        <v>0.316</v>
      </c>
      <c r="N55" s="86" t="s">
        <v>449</v>
      </c>
      <c r="O55" s="86" t="s">
        <v>215</v>
      </c>
      <c r="P55" s="86" t="s">
        <v>214</v>
      </c>
      <c r="Q55" s="69">
        <v>140</v>
      </c>
      <c r="R55" s="69">
        <v>1687.5</v>
      </c>
      <c r="S55" s="76">
        <v>2.35</v>
      </c>
    </row>
    <row r="56" spans="1:35" x14ac:dyDescent="0.2">
      <c r="J56" s="85" t="s">
        <v>149</v>
      </c>
      <c r="K56" s="103">
        <v>1.498</v>
      </c>
      <c r="L56" s="166">
        <v>1.153</v>
      </c>
    </row>
    <row r="59" spans="1:35" x14ac:dyDescent="0.2">
      <c r="D59" s="69"/>
    </row>
    <row r="60" spans="1:35" s="192" customFormat="1" x14ac:dyDescent="0.2">
      <c r="A60" s="189" t="s">
        <v>263</v>
      </c>
    </row>
    <row r="61" spans="1:35" x14ac:dyDescent="0.2">
      <c r="B61" s="135" t="s">
        <v>127</v>
      </c>
      <c r="C61" s="135" t="s">
        <v>128</v>
      </c>
      <c r="D61" s="135" t="s">
        <v>131</v>
      </c>
      <c r="E61" s="135" t="s">
        <v>132</v>
      </c>
      <c r="F61" s="135" t="s">
        <v>133</v>
      </c>
      <c r="G61" s="135" t="s">
        <v>134</v>
      </c>
      <c r="H61" s="86" t="s">
        <v>219</v>
      </c>
    </row>
    <row r="62" spans="1:35" x14ac:dyDescent="0.2">
      <c r="A62" s="135" t="s">
        <v>187</v>
      </c>
      <c r="B62" s="129">
        <v>10.5</v>
      </c>
      <c r="C62" s="129">
        <v>10.5</v>
      </c>
      <c r="D62" s="129">
        <v>10.5</v>
      </c>
      <c r="E62" s="129">
        <v>10.5</v>
      </c>
      <c r="F62" s="129">
        <v>10.5</v>
      </c>
      <c r="G62" s="129">
        <v>10.5</v>
      </c>
      <c r="H62" s="129">
        <f>AVERAGE(B62:G62)</f>
        <v>10.5</v>
      </c>
    </row>
    <row r="63" spans="1:35" x14ac:dyDescent="0.2">
      <c r="A63" s="135" t="s">
        <v>188</v>
      </c>
      <c r="B63" s="129">
        <v>82.7</v>
      </c>
      <c r="C63" s="129">
        <v>82.7</v>
      </c>
      <c r="D63" s="129">
        <v>82.7</v>
      </c>
      <c r="E63" s="129">
        <v>82.7</v>
      </c>
      <c r="F63" s="129">
        <v>82.7</v>
      </c>
      <c r="G63" s="129">
        <v>82.7</v>
      </c>
      <c r="H63" s="129">
        <f>AVERAGE(B63:G63)</f>
        <v>82.7</v>
      </c>
    </row>
    <row r="64" spans="1:35" x14ac:dyDescent="0.2">
      <c r="A64" s="135" t="s">
        <v>189</v>
      </c>
      <c r="B64" s="129">
        <v>0</v>
      </c>
      <c r="C64" s="129">
        <v>0</v>
      </c>
      <c r="D64" s="129">
        <v>0</v>
      </c>
      <c r="E64" s="129">
        <v>0</v>
      </c>
      <c r="F64" s="129">
        <v>0</v>
      </c>
      <c r="G64" s="129">
        <v>0</v>
      </c>
      <c r="H64" s="129">
        <f>AVERAGE(B64:G64)</f>
        <v>0</v>
      </c>
    </row>
    <row r="65" spans="1:8" x14ac:dyDescent="0.2">
      <c r="A65" s="135" t="s">
        <v>264</v>
      </c>
      <c r="B65" s="129">
        <v>0</v>
      </c>
      <c r="C65" s="129">
        <v>0</v>
      </c>
      <c r="D65" s="129">
        <v>0</v>
      </c>
      <c r="E65" s="129">
        <v>0</v>
      </c>
      <c r="F65" s="129">
        <v>0</v>
      </c>
      <c r="G65" s="129">
        <v>0</v>
      </c>
      <c r="H65" s="129">
        <f>AVERAGE(B65:G65)</f>
        <v>0</v>
      </c>
    </row>
    <row r="66" spans="1:8" x14ac:dyDescent="0.2">
      <c r="C66" s="69"/>
      <c r="D66" s="69"/>
    </row>
    <row r="79" spans="1:8" x14ac:dyDescent="0.2">
      <c r="A79" s="69"/>
      <c r="B79" s="69"/>
      <c r="C79" s="69"/>
      <c r="D79" s="69"/>
      <c r="E79" s="69"/>
      <c r="F79" s="69"/>
      <c r="G79" s="69"/>
      <c r="H79" s="69"/>
    </row>
    <row r="80" spans="1:8" x14ac:dyDescent="0.2">
      <c r="A80" s="86"/>
      <c r="B80" s="129"/>
      <c r="C80" s="129"/>
      <c r="D80" s="129"/>
      <c r="E80" s="129"/>
      <c r="F80" s="129"/>
      <c r="G80" s="129"/>
      <c r="H80" s="129"/>
    </row>
    <row r="81" spans="1:10" x14ac:dyDescent="0.2">
      <c r="A81" s="135"/>
      <c r="B81" s="129"/>
      <c r="C81" s="129"/>
      <c r="D81" s="129"/>
      <c r="E81" s="129"/>
      <c r="F81" s="129"/>
      <c r="G81" s="129"/>
      <c r="H81" s="129"/>
    </row>
    <row r="82" spans="1:10" x14ac:dyDescent="0.2">
      <c r="A82" s="86"/>
      <c r="B82" s="86"/>
      <c r="C82" s="86"/>
      <c r="D82" s="86"/>
      <c r="E82" s="86"/>
      <c r="F82" s="86"/>
      <c r="G82" s="86"/>
      <c r="H82" s="86"/>
      <c r="I82" s="86"/>
      <c r="J82" s="129"/>
    </row>
    <row r="83" spans="1:10" x14ac:dyDescent="0.2">
      <c r="A83" s="86"/>
      <c r="B83" s="86"/>
      <c r="C83" s="86"/>
      <c r="D83" s="178"/>
      <c r="E83" s="178"/>
      <c r="F83" s="178"/>
      <c r="G83" s="129"/>
      <c r="H83" s="129"/>
      <c r="I83" s="129"/>
      <c r="J83" s="129"/>
    </row>
    <row r="84" spans="1:10" x14ac:dyDescent="0.2">
      <c r="A84" s="86"/>
      <c r="C84" s="86"/>
      <c r="D84" s="129"/>
      <c r="E84" s="129"/>
      <c r="F84" s="129"/>
      <c r="G84" s="129"/>
      <c r="H84" s="129"/>
      <c r="I84" s="129"/>
      <c r="J84" s="129"/>
    </row>
    <row r="85" spans="1:10" x14ac:dyDescent="0.2">
      <c r="A85" s="86"/>
      <c r="B85" s="86"/>
      <c r="C85" s="86"/>
      <c r="D85" s="129"/>
      <c r="E85" s="69"/>
      <c r="F85" s="129"/>
      <c r="G85" s="129"/>
      <c r="H85" s="129"/>
      <c r="I85" s="129"/>
    </row>
    <row r="86" spans="1:10" x14ac:dyDescent="0.2">
      <c r="A86" s="86"/>
      <c r="B86" s="69"/>
      <c r="C86" s="69"/>
      <c r="D86" s="69"/>
      <c r="E86" s="69"/>
      <c r="F86" s="69"/>
      <c r="G86" s="69"/>
    </row>
  </sheetData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66"/>
  <sheetViews>
    <sheetView topLeftCell="A34" workbookViewId="0">
      <selection activeCell="A75" sqref="A75"/>
    </sheetView>
  </sheetViews>
  <sheetFormatPr defaultRowHeight="12.75" x14ac:dyDescent="0.2"/>
  <cols>
    <col min="1" max="1" width="38" bestFit="1" customWidth="1"/>
    <col min="2" max="2" width="26.7109375" bestFit="1" customWidth="1"/>
    <col min="3" max="3" width="38" bestFit="1" customWidth="1"/>
    <col min="4" max="4" width="7" bestFit="1" customWidth="1"/>
    <col min="5" max="5" width="5.5703125" bestFit="1" customWidth="1"/>
    <col min="6" max="6" width="12.28515625" bestFit="1" customWidth="1"/>
    <col min="7" max="7" width="29.28515625" customWidth="1"/>
    <col min="8" max="8" width="59.85546875" bestFit="1" customWidth="1"/>
    <col min="9" max="9" width="11.140625" bestFit="1" customWidth="1"/>
  </cols>
  <sheetData>
    <row r="1" spans="1:9" x14ac:dyDescent="0.2">
      <c r="A1" s="111" t="s">
        <v>590</v>
      </c>
      <c r="B1" s="111" t="s">
        <v>591</v>
      </c>
      <c r="C1" s="111" t="s">
        <v>592</v>
      </c>
      <c r="D1" s="111" t="s">
        <v>593</v>
      </c>
      <c r="E1" s="111" t="s">
        <v>594</v>
      </c>
      <c r="F1" s="111" t="s">
        <v>595</v>
      </c>
      <c r="G1" s="111" t="s">
        <v>596</v>
      </c>
      <c r="H1" s="111" t="s">
        <v>597</v>
      </c>
      <c r="I1" s="111" t="s">
        <v>598</v>
      </c>
    </row>
    <row r="2" spans="1:9" x14ac:dyDescent="0.2">
      <c r="A2" t="s">
        <v>599</v>
      </c>
      <c r="B2" t="s">
        <v>536</v>
      </c>
      <c r="C2" t="s">
        <v>600</v>
      </c>
      <c r="D2" t="b">
        <v>0</v>
      </c>
      <c r="E2" t="s">
        <v>601</v>
      </c>
      <c r="F2" t="s">
        <v>602</v>
      </c>
      <c r="G2" t="s">
        <v>603</v>
      </c>
      <c r="I2" s="111" t="s">
        <v>705</v>
      </c>
    </row>
    <row r="3" spans="1:9" x14ac:dyDescent="0.2">
      <c r="A3" t="s">
        <v>604</v>
      </c>
      <c r="B3" t="s">
        <v>537</v>
      </c>
      <c r="C3" t="s">
        <v>605</v>
      </c>
      <c r="D3" t="b">
        <v>0</v>
      </c>
      <c r="E3" t="s">
        <v>601</v>
      </c>
      <c r="F3" t="s">
        <v>602</v>
      </c>
      <c r="G3" t="s">
        <v>603</v>
      </c>
      <c r="I3" s="111" t="s">
        <v>705</v>
      </c>
    </row>
    <row r="4" spans="1:9" x14ac:dyDescent="0.2">
      <c r="A4" t="s">
        <v>606</v>
      </c>
      <c r="B4" t="s">
        <v>538</v>
      </c>
      <c r="C4" t="s">
        <v>607</v>
      </c>
      <c r="D4" t="b">
        <v>0</v>
      </c>
      <c r="E4" t="s">
        <v>601</v>
      </c>
      <c r="F4" t="s">
        <v>602</v>
      </c>
      <c r="G4" t="s">
        <v>603</v>
      </c>
      <c r="I4" s="111" t="s">
        <v>705</v>
      </c>
    </row>
    <row r="5" spans="1:9" x14ac:dyDescent="0.2">
      <c r="A5" t="s">
        <v>608</v>
      </c>
      <c r="B5" t="s">
        <v>539</v>
      </c>
      <c r="C5" t="s">
        <v>609</v>
      </c>
      <c r="D5" t="b">
        <v>0</v>
      </c>
      <c r="E5" t="s">
        <v>601</v>
      </c>
      <c r="F5" t="s">
        <v>602</v>
      </c>
      <c r="G5" t="s">
        <v>603</v>
      </c>
      <c r="I5" s="111" t="s">
        <v>705</v>
      </c>
    </row>
    <row r="6" spans="1:9" x14ac:dyDescent="0.2">
      <c r="A6" t="s">
        <v>610</v>
      </c>
      <c r="B6" t="s">
        <v>540</v>
      </c>
      <c r="C6" t="s">
        <v>611</v>
      </c>
      <c r="D6" t="b">
        <v>0</v>
      </c>
      <c r="E6" t="s">
        <v>601</v>
      </c>
      <c r="F6" t="s">
        <v>602</v>
      </c>
      <c r="G6" t="s">
        <v>603</v>
      </c>
      <c r="I6" s="111" t="s">
        <v>705</v>
      </c>
    </row>
    <row r="7" spans="1:9" x14ac:dyDescent="0.2">
      <c r="A7" t="s">
        <v>612</v>
      </c>
      <c r="B7" t="s">
        <v>541</v>
      </c>
      <c r="C7" t="s">
        <v>613</v>
      </c>
      <c r="D7" t="b">
        <v>0</v>
      </c>
      <c r="E7" t="s">
        <v>601</v>
      </c>
      <c r="F7" t="s">
        <v>602</v>
      </c>
      <c r="G7" t="s">
        <v>603</v>
      </c>
      <c r="I7" s="111" t="s">
        <v>705</v>
      </c>
    </row>
    <row r="8" spans="1:9" x14ac:dyDescent="0.2">
      <c r="A8" t="s">
        <v>614</v>
      </c>
      <c r="B8" t="s">
        <v>542</v>
      </c>
      <c r="C8" t="s">
        <v>615</v>
      </c>
      <c r="D8" t="b">
        <v>0</v>
      </c>
      <c r="E8" t="s">
        <v>601</v>
      </c>
      <c r="F8" t="s">
        <v>602</v>
      </c>
      <c r="G8" t="s">
        <v>603</v>
      </c>
      <c r="I8" s="111" t="s">
        <v>705</v>
      </c>
    </row>
    <row r="9" spans="1:9" x14ac:dyDescent="0.2">
      <c r="A9" t="s">
        <v>616</v>
      </c>
      <c r="B9" t="s">
        <v>543</v>
      </c>
      <c r="C9" t="s">
        <v>617</v>
      </c>
      <c r="D9" t="b">
        <v>0</v>
      </c>
      <c r="E9" t="s">
        <v>601</v>
      </c>
      <c r="F9" t="s">
        <v>602</v>
      </c>
      <c r="G9" t="s">
        <v>603</v>
      </c>
      <c r="I9" s="111" t="s">
        <v>705</v>
      </c>
    </row>
    <row r="10" spans="1:9" x14ac:dyDescent="0.2">
      <c r="A10" t="s">
        <v>618</v>
      </c>
      <c r="B10" t="s">
        <v>544</v>
      </c>
      <c r="C10" t="s">
        <v>619</v>
      </c>
      <c r="D10" t="b">
        <v>0</v>
      </c>
      <c r="E10" t="s">
        <v>601</v>
      </c>
      <c r="F10" t="s">
        <v>602</v>
      </c>
      <c r="G10" t="s">
        <v>603</v>
      </c>
      <c r="I10" s="111" t="s">
        <v>705</v>
      </c>
    </row>
    <row r="11" spans="1:9" x14ac:dyDescent="0.2">
      <c r="A11" t="s">
        <v>307</v>
      </c>
      <c r="B11" t="s">
        <v>545</v>
      </c>
      <c r="C11" t="s">
        <v>620</v>
      </c>
      <c r="D11" t="b">
        <v>0</v>
      </c>
      <c r="E11" t="s">
        <v>601</v>
      </c>
      <c r="F11" t="s">
        <v>602</v>
      </c>
      <c r="G11" t="s">
        <v>603</v>
      </c>
      <c r="I11" s="111" t="s">
        <v>705</v>
      </c>
    </row>
    <row r="12" spans="1:9" x14ac:dyDescent="0.2">
      <c r="A12" t="s">
        <v>34</v>
      </c>
      <c r="B12" t="s">
        <v>546</v>
      </c>
      <c r="C12" t="s">
        <v>621</v>
      </c>
      <c r="D12" t="b">
        <v>0</v>
      </c>
      <c r="E12" t="s">
        <v>601</v>
      </c>
      <c r="F12" t="s">
        <v>602</v>
      </c>
      <c r="G12" t="s">
        <v>603</v>
      </c>
      <c r="I12" s="111" t="s">
        <v>705</v>
      </c>
    </row>
    <row r="13" spans="1:9" x14ac:dyDescent="0.2">
      <c r="A13" t="s">
        <v>33</v>
      </c>
      <c r="B13" t="s">
        <v>547</v>
      </c>
      <c r="C13" t="s">
        <v>622</v>
      </c>
      <c r="D13" t="b">
        <v>0</v>
      </c>
      <c r="E13" t="s">
        <v>601</v>
      </c>
      <c r="F13" t="s">
        <v>602</v>
      </c>
      <c r="G13" t="s">
        <v>603</v>
      </c>
      <c r="I13" s="111" t="s">
        <v>705</v>
      </c>
    </row>
    <row r="14" spans="1:9" x14ac:dyDescent="0.2">
      <c r="A14" t="s">
        <v>32</v>
      </c>
      <c r="B14" t="s">
        <v>548</v>
      </c>
      <c r="C14" t="s">
        <v>623</v>
      </c>
      <c r="D14" t="b">
        <v>0</v>
      </c>
      <c r="E14" t="s">
        <v>601</v>
      </c>
      <c r="F14" t="s">
        <v>602</v>
      </c>
      <c r="G14" t="s">
        <v>603</v>
      </c>
      <c r="I14" s="111" t="s">
        <v>705</v>
      </c>
    </row>
    <row r="15" spans="1:9" x14ac:dyDescent="0.2">
      <c r="A15" t="s">
        <v>30</v>
      </c>
      <c r="B15" t="s">
        <v>549</v>
      </c>
      <c r="C15" t="s">
        <v>624</v>
      </c>
      <c r="D15" t="b">
        <v>0</v>
      </c>
      <c r="E15" t="s">
        <v>601</v>
      </c>
      <c r="F15" t="s">
        <v>602</v>
      </c>
      <c r="G15" t="s">
        <v>603</v>
      </c>
      <c r="I15" s="111" t="s">
        <v>705</v>
      </c>
    </row>
    <row r="16" spans="1:9" x14ac:dyDescent="0.2">
      <c r="A16" t="s">
        <v>129</v>
      </c>
      <c r="B16" t="s">
        <v>550</v>
      </c>
      <c r="C16" t="s">
        <v>625</v>
      </c>
      <c r="D16" t="b">
        <v>0</v>
      </c>
      <c r="E16" t="s">
        <v>601</v>
      </c>
      <c r="F16" t="s">
        <v>602</v>
      </c>
      <c r="G16" t="s">
        <v>603</v>
      </c>
      <c r="I16" s="111" t="s">
        <v>705</v>
      </c>
    </row>
    <row r="17" spans="1:9" x14ac:dyDescent="0.2">
      <c r="A17" t="s">
        <v>626</v>
      </c>
      <c r="B17" t="s">
        <v>563</v>
      </c>
      <c r="C17" t="s">
        <v>626</v>
      </c>
      <c r="D17" t="b">
        <v>0</v>
      </c>
      <c r="E17" t="s">
        <v>601</v>
      </c>
      <c r="F17" t="s">
        <v>602</v>
      </c>
      <c r="G17" t="s">
        <v>627</v>
      </c>
      <c r="I17" s="111" t="s">
        <v>705</v>
      </c>
    </row>
    <row r="18" spans="1:9" x14ac:dyDescent="0.2">
      <c r="A18" t="s">
        <v>628</v>
      </c>
      <c r="B18" t="s">
        <v>564</v>
      </c>
      <c r="C18" t="s">
        <v>628</v>
      </c>
      <c r="D18" t="b">
        <v>0</v>
      </c>
      <c r="E18" t="s">
        <v>601</v>
      </c>
      <c r="F18" t="s">
        <v>602</v>
      </c>
      <c r="G18" t="s">
        <v>627</v>
      </c>
      <c r="I18" s="111" t="s">
        <v>705</v>
      </c>
    </row>
    <row r="19" spans="1:9" x14ac:dyDescent="0.2">
      <c r="A19" t="s">
        <v>629</v>
      </c>
      <c r="B19" t="s">
        <v>565</v>
      </c>
      <c r="C19" t="s">
        <v>629</v>
      </c>
      <c r="D19" t="b">
        <v>0</v>
      </c>
      <c r="E19" t="s">
        <v>601</v>
      </c>
      <c r="F19" t="s">
        <v>602</v>
      </c>
      <c r="G19" t="s">
        <v>627</v>
      </c>
      <c r="I19" s="111" t="s">
        <v>705</v>
      </c>
    </row>
    <row r="20" spans="1:9" x14ac:dyDescent="0.2">
      <c r="A20" t="s">
        <v>630</v>
      </c>
      <c r="B20" t="s">
        <v>566</v>
      </c>
      <c r="C20" t="s">
        <v>630</v>
      </c>
      <c r="D20" t="b">
        <v>0</v>
      </c>
      <c r="E20" t="s">
        <v>601</v>
      </c>
      <c r="F20" t="s">
        <v>602</v>
      </c>
      <c r="G20" t="s">
        <v>627</v>
      </c>
      <c r="I20" s="111" t="s">
        <v>705</v>
      </c>
    </row>
    <row r="21" spans="1:9" x14ac:dyDescent="0.2">
      <c r="A21" t="s">
        <v>631</v>
      </c>
      <c r="B21" t="s">
        <v>551</v>
      </c>
      <c r="C21" t="s">
        <v>631</v>
      </c>
      <c r="D21" t="b">
        <v>0</v>
      </c>
      <c r="E21" t="s">
        <v>601</v>
      </c>
      <c r="F21" t="s">
        <v>602</v>
      </c>
      <c r="G21" t="s">
        <v>627</v>
      </c>
      <c r="I21" s="111" t="s">
        <v>705</v>
      </c>
    </row>
    <row r="22" spans="1:9" x14ac:dyDescent="0.2">
      <c r="A22" t="s">
        <v>632</v>
      </c>
      <c r="B22" t="s">
        <v>552</v>
      </c>
      <c r="C22" t="s">
        <v>632</v>
      </c>
      <c r="D22" t="b">
        <v>0</v>
      </c>
      <c r="E22" t="s">
        <v>601</v>
      </c>
      <c r="F22" t="s">
        <v>602</v>
      </c>
      <c r="G22" t="s">
        <v>627</v>
      </c>
      <c r="I22" s="111" t="s">
        <v>705</v>
      </c>
    </row>
    <row r="23" spans="1:9" x14ac:dyDescent="0.2">
      <c r="A23" t="s">
        <v>633</v>
      </c>
      <c r="B23" t="s">
        <v>553</v>
      </c>
      <c r="C23" t="s">
        <v>633</v>
      </c>
      <c r="D23" t="b">
        <v>0</v>
      </c>
      <c r="E23" t="s">
        <v>601</v>
      </c>
      <c r="F23" t="s">
        <v>602</v>
      </c>
      <c r="G23" t="s">
        <v>627</v>
      </c>
      <c r="I23" s="111" t="s">
        <v>705</v>
      </c>
    </row>
    <row r="24" spans="1:9" x14ac:dyDescent="0.2">
      <c r="A24" t="s">
        <v>634</v>
      </c>
      <c r="B24" t="s">
        <v>554</v>
      </c>
      <c r="C24" t="s">
        <v>634</v>
      </c>
      <c r="D24" t="b">
        <v>0</v>
      </c>
      <c r="E24" t="s">
        <v>601</v>
      </c>
      <c r="F24" t="s">
        <v>602</v>
      </c>
      <c r="G24" t="s">
        <v>627</v>
      </c>
      <c r="I24" s="111" t="s">
        <v>705</v>
      </c>
    </row>
    <row r="25" spans="1:9" x14ac:dyDescent="0.2">
      <c r="A25" t="s">
        <v>635</v>
      </c>
      <c r="B25" t="s">
        <v>555</v>
      </c>
      <c r="C25" t="s">
        <v>635</v>
      </c>
      <c r="D25" t="b">
        <v>0</v>
      </c>
      <c r="E25" t="s">
        <v>601</v>
      </c>
      <c r="F25" t="s">
        <v>602</v>
      </c>
      <c r="G25" t="s">
        <v>627</v>
      </c>
      <c r="I25" s="111" t="s">
        <v>705</v>
      </c>
    </row>
    <row r="26" spans="1:9" x14ac:dyDescent="0.2">
      <c r="A26" t="s">
        <v>636</v>
      </c>
      <c r="B26" t="s">
        <v>556</v>
      </c>
      <c r="C26" t="s">
        <v>636</v>
      </c>
      <c r="D26" t="b">
        <v>0</v>
      </c>
      <c r="E26" t="s">
        <v>601</v>
      </c>
      <c r="F26" t="s">
        <v>602</v>
      </c>
      <c r="G26" t="s">
        <v>627</v>
      </c>
      <c r="I26" s="111" t="s">
        <v>705</v>
      </c>
    </row>
    <row r="27" spans="1:9" x14ac:dyDescent="0.2">
      <c r="A27" t="s">
        <v>637</v>
      </c>
      <c r="B27" t="s">
        <v>557</v>
      </c>
      <c r="C27" t="s">
        <v>637</v>
      </c>
      <c r="D27" t="b">
        <v>0</v>
      </c>
      <c r="E27" t="s">
        <v>601</v>
      </c>
      <c r="F27" t="s">
        <v>602</v>
      </c>
      <c r="G27" t="s">
        <v>627</v>
      </c>
      <c r="I27" s="111" t="s">
        <v>705</v>
      </c>
    </row>
    <row r="28" spans="1:9" x14ac:dyDescent="0.2">
      <c r="A28" t="s">
        <v>638</v>
      </c>
      <c r="B28" t="s">
        <v>558</v>
      </c>
      <c r="C28" t="s">
        <v>638</v>
      </c>
      <c r="D28" t="b">
        <v>0</v>
      </c>
      <c r="E28" t="s">
        <v>601</v>
      </c>
      <c r="F28" t="s">
        <v>602</v>
      </c>
      <c r="G28" t="s">
        <v>627</v>
      </c>
      <c r="I28" s="111" t="s">
        <v>705</v>
      </c>
    </row>
    <row r="29" spans="1:9" x14ac:dyDescent="0.2">
      <c r="A29" t="s">
        <v>639</v>
      </c>
      <c r="B29" t="s">
        <v>559</v>
      </c>
      <c r="C29" t="s">
        <v>639</v>
      </c>
      <c r="D29" t="b">
        <v>0</v>
      </c>
      <c r="E29" t="s">
        <v>601</v>
      </c>
      <c r="F29" t="s">
        <v>602</v>
      </c>
      <c r="G29" t="s">
        <v>627</v>
      </c>
      <c r="I29" s="111" t="s">
        <v>705</v>
      </c>
    </row>
    <row r="30" spans="1:9" x14ac:dyDescent="0.2">
      <c r="A30" t="s">
        <v>640</v>
      </c>
      <c r="B30" t="s">
        <v>560</v>
      </c>
      <c r="C30" t="s">
        <v>640</v>
      </c>
      <c r="D30" t="b">
        <v>0</v>
      </c>
      <c r="E30" t="s">
        <v>601</v>
      </c>
      <c r="F30" t="s">
        <v>602</v>
      </c>
      <c r="G30" t="s">
        <v>627</v>
      </c>
      <c r="I30" s="111" t="s">
        <v>705</v>
      </c>
    </row>
    <row r="31" spans="1:9" x14ac:dyDescent="0.2">
      <c r="A31" t="s">
        <v>641</v>
      </c>
      <c r="B31" t="s">
        <v>561</v>
      </c>
      <c r="C31" t="s">
        <v>641</v>
      </c>
      <c r="D31" t="b">
        <v>0</v>
      </c>
      <c r="E31" t="s">
        <v>601</v>
      </c>
      <c r="F31" t="s">
        <v>602</v>
      </c>
      <c r="G31" t="s">
        <v>627</v>
      </c>
      <c r="I31" s="111" t="s">
        <v>705</v>
      </c>
    </row>
    <row r="32" spans="1:9" x14ac:dyDescent="0.2">
      <c r="A32" t="s">
        <v>642</v>
      </c>
      <c r="B32" t="s">
        <v>562</v>
      </c>
      <c r="C32" t="s">
        <v>642</v>
      </c>
      <c r="D32" t="b">
        <v>0</v>
      </c>
      <c r="E32" t="s">
        <v>601</v>
      </c>
      <c r="F32" t="s">
        <v>602</v>
      </c>
      <c r="G32" t="s">
        <v>627</v>
      </c>
      <c r="I32" s="111" t="s">
        <v>705</v>
      </c>
    </row>
    <row r="33" spans="1:9" x14ac:dyDescent="0.2">
      <c r="A33" t="s">
        <v>643</v>
      </c>
      <c r="B33" t="s">
        <v>567</v>
      </c>
      <c r="C33" t="s">
        <v>643</v>
      </c>
      <c r="D33" t="b">
        <v>0</v>
      </c>
      <c r="E33" t="s">
        <v>601</v>
      </c>
      <c r="F33" t="s">
        <v>602</v>
      </c>
      <c r="G33" t="s">
        <v>627</v>
      </c>
      <c r="I33" s="111" t="s">
        <v>705</v>
      </c>
    </row>
    <row r="34" spans="1:9" x14ac:dyDescent="0.2">
      <c r="A34" t="s">
        <v>644</v>
      </c>
      <c r="B34" t="s">
        <v>568</v>
      </c>
      <c r="C34" t="s">
        <v>644</v>
      </c>
      <c r="D34" t="b">
        <v>0</v>
      </c>
      <c r="E34" t="s">
        <v>601</v>
      </c>
      <c r="F34" t="s">
        <v>602</v>
      </c>
      <c r="G34" t="s">
        <v>627</v>
      </c>
      <c r="I34" s="111" t="s">
        <v>705</v>
      </c>
    </row>
    <row r="35" spans="1:9" x14ac:dyDescent="0.2">
      <c r="A35" t="s">
        <v>645</v>
      </c>
      <c r="B35" t="s">
        <v>569</v>
      </c>
      <c r="C35" t="s">
        <v>645</v>
      </c>
      <c r="D35" t="b">
        <v>0</v>
      </c>
      <c r="E35" t="s">
        <v>601</v>
      </c>
      <c r="F35" t="s">
        <v>602</v>
      </c>
      <c r="G35" t="s">
        <v>627</v>
      </c>
      <c r="I35" s="111" t="s">
        <v>705</v>
      </c>
    </row>
    <row r="36" spans="1:9" x14ac:dyDescent="0.2">
      <c r="A36" t="s">
        <v>646</v>
      </c>
      <c r="B36" t="s">
        <v>570</v>
      </c>
      <c r="C36" t="s">
        <v>646</v>
      </c>
      <c r="D36" t="b">
        <v>0</v>
      </c>
      <c r="E36" t="s">
        <v>601</v>
      </c>
      <c r="F36" t="s">
        <v>602</v>
      </c>
      <c r="G36" t="s">
        <v>627</v>
      </c>
      <c r="I36" s="111" t="s">
        <v>705</v>
      </c>
    </row>
    <row r="37" spans="1:9" x14ac:dyDescent="0.2">
      <c r="A37" t="s">
        <v>647</v>
      </c>
      <c r="B37" t="s">
        <v>571</v>
      </c>
      <c r="C37" t="s">
        <v>647</v>
      </c>
      <c r="D37" t="b">
        <v>0</v>
      </c>
      <c r="E37" t="s">
        <v>601</v>
      </c>
      <c r="F37" t="s">
        <v>602</v>
      </c>
      <c r="G37" t="s">
        <v>627</v>
      </c>
      <c r="I37" s="111" t="s">
        <v>705</v>
      </c>
    </row>
    <row r="38" spans="1:9" x14ac:dyDescent="0.2">
      <c r="A38" t="s">
        <v>648</v>
      </c>
      <c r="B38" t="s">
        <v>572</v>
      </c>
      <c r="C38" t="s">
        <v>648</v>
      </c>
      <c r="D38" t="b">
        <v>0</v>
      </c>
      <c r="E38" t="s">
        <v>601</v>
      </c>
      <c r="F38" t="s">
        <v>602</v>
      </c>
      <c r="G38" t="s">
        <v>627</v>
      </c>
      <c r="I38" s="111" t="s">
        <v>705</v>
      </c>
    </row>
    <row r="39" spans="1:9" x14ac:dyDescent="0.2">
      <c r="A39" t="s">
        <v>649</v>
      </c>
      <c r="B39" t="s">
        <v>573</v>
      </c>
      <c r="C39" t="s">
        <v>649</v>
      </c>
      <c r="D39" t="b">
        <v>0</v>
      </c>
      <c r="E39" t="s">
        <v>601</v>
      </c>
      <c r="F39" t="s">
        <v>602</v>
      </c>
      <c r="G39" t="s">
        <v>627</v>
      </c>
      <c r="I39" s="111" t="s">
        <v>705</v>
      </c>
    </row>
    <row r="40" spans="1:9" x14ac:dyDescent="0.2">
      <c r="A40" t="s">
        <v>650</v>
      </c>
      <c r="B40" t="s">
        <v>574</v>
      </c>
      <c r="C40" t="s">
        <v>650</v>
      </c>
      <c r="D40" t="b">
        <v>0</v>
      </c>
      <c r="E40" t="s">
        <v>601</v>
      </c>
      <c r="F40" t="s">
        <v>602</v>
      </c>
      <c r="G40" t="s">
        <v>627</v>
      </c>
      <c r="I40" s="111" t="s">
        <v>705</v>
      </c>
    </row>
    <row r="41" spans="1:9" x14ac:dyDescent="0.2">
      <c r="A41" t="s">
        <v>651</v>
      </c>
      <c r="B41" t="s">
        <v>575</v>
      </c>
      <c r="C41" t="s">
        <v>651</v>
      </c>
      <c r="D41" t="b">
        <v>0</v>
      </c>
      <c r="E41" t="s">
        <v>601</v>
      </c>
      <c r="F41" t="s">
        <v>602</v>
      </c>
      <c r="G41" t="s">
        <v>652</v>
      </c>
      <c r="I41" s="111" t="s">
        <v>705</v>
      </c>
    </row>
    <row r="42" spans="1:9" x14ac:dyDescent="0.2">
      <c r="A42" t="s">
        <v>653</v>
      </c>
      <c r="B42" t="s">
        <v>576</v>
      </c>
      <c r="C42" t="s">
        <v>653</v>
      </c>
      <c r="D42" t="b">
        <v>0</v>
      </c>
      <c r="E42" t="s">
        <v>601</v>
      </c>
      <c r="F42" t="s">
        <v>602</v>
      </c>
      <c r="G42" t="s">
        <v>652</v>
      </c>
      <c r="I42" s="111" t="s">
        <v>705</v>
      </c>
    </row>
    <row r="43" spans="1:9" x14ac:dyDescent="0.2">
      <c r="A43" t="s">
        <v>654</v>
      </c>
      <c r="B43" t="s">
        <v>577</v>
      </c>
      <c r="C43" t="s">
        <v>654</v>
      </c>
      <c r="D43" t="b">
        <v>0</v>
      </c>
      <c r="E43" t="s">
        <v>601</v>
      </c>
      <c r="F43" t="s">
        <v>602</v>
      </c>
      <c r="G43" t="s">
        <v>652</v>
      </c>
      <c r="I43" s="111" t="s">
        <v>705</v>
      </c>
    </row>
    <row r="44" spans="1:9" x14ac:dyDescent="0.2">
      <c r="A44" t="s">
        <v>655</v>
      </c>
      <c r="B44" t="s">
        <v>578</v>
      </c>
      <c r="C44" t="s">
        <v>655</v>
      </c>
      <c r="D44" t="b">
        <v>0</v>
      </c>
      <c r="E44" t="s">
        <v>601</v>
      </c>
      <c r="F44" t="s">
        <v>602</v>
      </c>
      <c r="G44" t="s">
        <v>652</v>
      </c>
      <c r="I44" s="111" t="s">
        <v>705</v>
      </c>
    </row>
    <row r="45" spans="1:9" x14ac:dyDescent="0.2">
      <c r="A45" t="s">
        <v>656</v>
      </c>
      <c r="B45" t="s">
        <v>579</v>
      </c>
      <c r="C45" t="s">
        <v>656</v>
      </c>
      <c r="D45" t="b">
        <v>0</v>
      </c>
      <c r="E45" t="s">
        <v>601</v>
      </c>
      <c r="F45" t="s">
        <v>602</v>
      </c>
      <c r="G45" t="s">
        <v>652</v>
      </c>
      <c r="I45" s="111" t="s">
        <v>705</v>
      </c>
    </row>
    <row r="46" spans="1:9" x14ac:dyDescent="0.2">
      <c r="A46" t="s">
        <v>657</v>
      </c>
      <c r="B46" t="s">
        <v>585</v>
      </c>
      <c r="C46" t="s">
        <v>657</v>
      </c>
      <c r="D46" t="b">
        <v>0</v>
      </c>
      <c r="E46" t="s">
        <v>601</v>
      </c>
      <c r="F46" t="s">
        <v>602</v>
      </c>
      <c r="G46" t="s">
        <v>652</v>
      </c>
      <c r="I46" s="111" t="s">
        <v>705</v>
      </c>
    </row>
    <row r="47" spans="1:9" x14ac:dyDescent="0.2">
      <c r="A47" t="s">
        <v>658</v>
      </c>
      <c r="B47" t="s">
        <v>586</v>
      </c>
      <c r="C47" t="s">
        <v>658</v>
      </c>
      <c r="D47" t="b">
        <v>0</v>
      </c>
      <c r="E47" t="s">
        <v>601</v>
      </c>
      <c r="F47" t="s">
        <v>602</v>
      </c>
      <c r="G47" t="s">
        <v>652</v>
      </c>
      <c r="I47" s="111" t="s">
        <v>705</v>
      </c>
    </row>
    <row r="48" spans="1:9" x14ac:dyDescent="0.2">
      <c r="A48" t="s">
        <v>659</v>
      </c>
      <c r="B48" t="s">
        <v>587</v>
      </c>
      <c r="C48" t="s">
        <v>659</v>
      </c>
      <c r="D48" t="b">
        <v>0</v>
      </c>
      <c r="E48" t="s">
        <v>601</v>
      </c>
      <c r="F48" t="s">
        <v>602</v>
      </c>
      <c r="G48" t="s">
        <v>652</v>
      </c>
      <c r="I48" s="111" t="s">
        <v>705</v>
      </c>
    </row>
    <row r="49" spans="1:9" x14ac:dyDescent="0.2">
      <c r="A49" t="s">
        <v>660</v>
      </c>
      <c r="B49" t="s">
        <v>588</v>
      </c>
      <c r="C49" t="s">
        <v>660</v>
      </c>
      <c r="D49" t="b">
        <v>0</v>
      </c>
      <c r="E49" t="s">
        <v>601</v>
      </c>
      <c r="F49" t="s">
        <v>602</v>
      </c>
      <c r="G49" t="s">
        <v>652</v>
      </c>
      <c r="I49" s="111" t="s">
        <v>705</v>
      </c>
    </row>
    <row r="50" spans="1:9" x14ac:dyDescent="0.2">
      <c r="A50" t="s">
        <v>661</v>
      </c>
      <c r="B50" t="s">
        <v>589</v>
      </c>
      <c r="C50" t="s">
        <v>661</v>
      </c>
      <c r="D50" t="b">
        <v>0</v>
      </c>
      <c r="E50" t="s">
        <v>601</v>
      </c>
      <c r="F50" t="s">
        <v>602</v>
      </c>
      <c r="G50" t="s">
        <v>652</v>
      </c>
      <c r="I50" s="111" t="s">
        <v>705</v>
      </c>
    </row>
    <row r="51" spans="1:9" x14ac:dyDescent="0.2">
      <c r="A51" t="s">
        <v>662</v>
      </c>
      <c r="B51" t="s">
        <v>580</v>
      </c>
      <c r="C51" t="s">
        <v>662</v>
      </c>
      <c r="D51" t="b">
        <v>0</v>
      </c>
      <c r="E51" t="s">
        <v>601</v>
      </c>
      <c r="F51" t="s">
        <v>602</v>
      </c>
      <c r="G51" t="s">
        <v>652</v>
      </c>
      <c r="I51" s="111" t="s">
        <v>705</v>
      </c>
    </row>
    <row r="52" spans="1:9" x14ac:dyDescent="0.2">
      <c r="A52" t="s">
        <v>663</v>
      </c>
      <c r="B52" t="s">
        <v>581</v>
      </c>
      <c r="C52" t="s">
        <v>663</v>
      </c>
      <c r="D52" t="b">
        <v>0</v>
      </c>
      <c r="E52" t="s">
        <v>601</v>
      </c>
      <c r="F52" t="s">
        <v>602</v>
      </c>
      <c r="G52" t="s">
        <v>652</v>
      </c>
      <c r="I52" s="111" t="s">
        <v>705</v>
      </c>
    </row>
    <row r="53" spans="1:9" x14ac:dyDescent="0.2">
      <c r="A53" t="s">
        <v>664</v>
      </c>
      <c r="B53" t="s">
        <v>582</v>
      </c>
      <c r="C53" t="s">
        <v>664</v>
      </c>
      <c r="D53" t="b">
        <v>0</v>
      </c>
      <c r="E53" t="s">
        <v>601</v>
      </c>
      <c r="F53" t="s">
        <v>602</v>
      </c>
      <c r="G53" t="s">
        <v>652</v>
      </c>
      <c r="I53" s="111" t="s">
        <v>705</v>
      </c>
    </row>
    <row r="54" spans="1:9" x14ac:dyDescent="0.2">
      <c r="A54" t="s">
        <v>665</v>
      </c>
      <c r="B54" t="s">
        <v>583</v>
      </c>
      <c r="C54" t="s">
        <v>665</v>
      </c>
      <c r="D54" t="b">
        <v>0</v>
      </c>
      <c r="E54" t="s">
        <v>601</v>
      </c>
      <c r="F54" t="s">
        <v>602</v>
      </c>
      <c r="G54" t="s">
        <v>652</v>
      </c>
      <c r="I54" s="111" t="s">
        <v>705</v>
      </c>
    </row>
    <row r="55" spans="1:9" x14ac:dyDescent="0.2">
      <c r="A55" t="s">
        <v>666</v>
      </c>
      <c r="B55" t="s">
        <v>584</v>
      </c>
      <c r="C55" t="s">
        <v>666</v>
      </c>
      <c r="D55" t="b">
        <v>0</v>
      </c>
      <c r="E55" t="s">
        <v>601</v>
      </c>
      <c r="F55" t="s">
        <v>602</v>
      </c>
      <c r="G55" t="s">
        <v>652</v>
      </c>
      <c r="I55" s="111" t="s">
        <v>705</v>
      </c>
    </row>
    <row r="56" spans="1:9" x14ac:dyDescent="0.2">
      <c r="A56" t="s">
        <v>667</v>
      </c>
      <c r="B56" t="s">
        <v>668</v>
      </c>
      <c r="C56" t="s">
        <v>669</v>
      </c>
      <c r="D56" t="b">
        <v>0</v>
      </c>
      <c r="E56" t="s">
        <v>670</v>
      </c>
      <c r="F56" t="s">
        <v>708</v>
      </c>
      <c r="G56" t="s">
        <v>671</v>
      </c>
      <c r="I56" s="111" t="s">
        <v>705</v>
      </c>
    </row>
    <row r="57" spans="1:9" x14ac:dyDescent="0.2">
      <c r="A57" t="s">
        <v>672</v>
      </c>
      <c r="B57" t="s">
        <v>673</v>
      </c>
      <c r="C57" t="s">
        <v>672</v>
      </c>
      <c r="D57" t="b">
        <v>0</v>
      </c>
      <c r="E57" t="s">
        <v>670</v>
      </c>
      <c r="F57" t="s">
        <v>708</v>
      </c>
      <c r="G57" t="s">
        <v>674</v>
      </c>
      <c r="I57" s="111" t="s">
        <v>705</v>
      </c>
    </row>
    <row r="58" spans="1:9" x14ac:dyDescent="0.2">
      <c r="A58" t="s">
        <v>675</v>
      </c>
      <c r="B58" t="s">
        <v>676</v>
      </c>
      <c r="C58" t="s">
        <v>677</v>
      </c>
      <c r="D58" t="b">
        <v>0</v>
      </c>
      <c r="E58" t="s">
        <v>670</v>
      </c>
      <c r="F58" t="s">
        <v>678</v>
      </c>
      <c r="G58" t="s">
        <v>603</v>
      </c>
      <c r="H58" t="s">
        <v>679</v>
      </c>
      <c r="I58" s="111" t="s">
        <v>705</v>
      </c>
    </row>
    <row r="59" spans="1:9" x14ac:dyDescent="0.2">
      <c r="A59" t="s">
        <v>680</v>
      </c>
      <c r="B59" t="s">
        <v>681</v>
      </c>
      <c r="C59" t="s">
        <v>682</v>
      </c>
      <c r="D59" t="b">
        <v>0</v>
      </c>
      <c r="E59" t="s">
        <v>670</v>
      </c>
      <c r="F59" t="s">
        <v>678</v>
      </c>
      <c r="G59" t="s">
        <v>603</v>
      </c>
      <c r="H59" t="s">
        <v>683</v>
      </c>
      <c r="I59" s="111" t="s">
        <v>705</v>
      </c>
    </row>
    <row r="60" spans="1:9" ht="25.5" x14ac:dyDescent="0.2">
      <c r="A60" t="s">
        <v>684</v>
      </c>
      <c r="B60" t="s">
        <v>685</v>
      </c>
      <c r="C60" t="s">
        <v>686</v>
      </c>
      <c r="D60" t="b">
        <v>0</v>
      </c>
      <c r="E60" t="s">
        <v>670</v>
      </c>
      <c r="F60" t="s">
        <v>678</v>
      </c>
      <c r="G60" t="s">
        <v>603</v>
      </c>
      <c r="H60" s="286" t="s">
        <v>706</v>
      </c>
      <c r="I60" s="111" t="s">
        <v>705</v>
      </c>
    </row>
    <row r="61" spans="1:9" ht="25.5" x14ac:dyDescent="0.2">
      <c r="A61" t="s">
        <v>687</v>
      </c>
      <c r="B61" t="s">
        <v>688</v>
      </c>
      <c r="C61" t="s">
        <v>689</v>
      </c>
      <c r="D61" t="b">
        <v>0</v>
      </c>
      <c r="E61" t="s">
        <v>670</v>
      </c>
      <c r="F61" t="s">
        <v>678</v>
      </c>
      <c r="G61" t="s">
        <v>603</v>
      </c>
      <c r="H61" s="286" t="s">
        <v>707</v>
      </c>
      <c r="I61" s="111" t="s">
        <v>705</v>
      </c>
    </row>
    <row r="62" spans="1:9" x14ac:dyDescent="0.2">
      <c r="A62" t="s">
        <v>690</v>
      </c>
      <c r="B62" t="s">
        <v>691</v>
      </c>
      <c r="C62" t="s">
        <v>692</v>
      </c>
      <c r="D62" t="b">
        <v>0</v>
      </c>
      <c r="E62" t="s">
        <v>670</v>
      </c>
      <c r="F62" t="s">
        <v>709</v>
      </c>
      <c r="G62" t="s">
        <v>652</v>
      </c>
      <c r="I62" s="111" t="s">
        <v>705</v>
      </c>
    </row>
    <row r="63" spans="1:9" x14ac:dyDescent="0.2">
      <c r="A63" t="s">
        <v>693</v>
      </c>
      <c r="B63" t="s">
        <v>694</v>
      </c>
      <c r="C63" t="s">
        <v>695</v>
      </c>
      <c r="D63" t="b">
        <v>0</v>
      </c>
      <c r="E63" t="s">
        <v>670</v>
      </c>
      <c r="F63" t="s">
        <v>709</v>
      </c>
      <c r="G63" t="s">
        <v>652</v>
      </c>
      <c r="I63" s="111" t="s">
        <v>705</v>
      </c>
    </row>
    <row r="64" spans="1:9" x14ac:dyDescent="0.2">
      <c r="A64" t="s">
        <v>696</v>
      </c>
      <c r="B64" t="s">
        <v>697</v>
      </c>
      <c r="C64" t="s">
        <v>696</v>
      </c>
      <c r="D64" t="b">
        <v>0</v>
      </c>
      <c r="E64" t="s">
        <v>670</v>
      </c>
      <c r="F64" t="s">
        <v>708</v>
      </c>
      <c r="G64" t="s">
        <v>698</v>
      </c>
      <c r="I64" s="111" t="s">
        <v>705</v>
      </c>
    </row>
    <row r="65" spans="1:9" x14ac:dyDescent="0.2">
      <c r="A65" t="s">
        <v>699</v>
      </c>
      <c r="B65" t="s">
        <v>700</v>
      </c>
      <c r="C65" t="s">
        <v>701</v>
      </c>
      <c r="D65" t="b">
        <v>0</v>
      </c>
      <c r="E65" t="s">
        <v>670</v>
      </c>
      <c r="F65" t="s">
        <v>709</v>
      </c>
      <c r="G65" t="s">
        <v>652</v>
      </c>
      <c r="I65" s="111" t="s">
        <v>705</v>
      </c>
    </row>
    <row r="66" spans="1:9" x14ac:dyDescent="0.2">
      <c r="A66" t="s">
        <v>702</v>
      </c>
      <c r="B66" t="s">
        <v>703</v>
      </c>
      <c r="C66" t="s">
        <v>704</v>
      </c>
      <c r="D66" t="b">
        <v>0</v>
      </c>
      <c r="E66" t="s">
        <v>670</v>
      </c>
      <c r="F66" t="s">
        <v>709</v>
      </c>
      <c r="G66" t="s">
        <v>652</v>
      </c>
      <c r="I66" s="111" t="s">
        <v>705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14</vt:i4>
      </vt:variant>
    </vt:vector>
  </HeadingPairs>
  <TitlesOfParts>
    <vt:vector size="20" baseType="lpstr">
      <vt:lpstr>Main</vt:lpstr>
      <vt:lpstr>Data</vt:lpstr>
      <vt:lpstr>Info</vt:lpstr>
      <vt:lpstr>QATrack_Main</vt:lpstr>
      <vt:lpstr>QATrack_Data</vt:lpstr>
      <vt:lpstr>QATrack_Definitions</vt:lpstr>
      <vt:lpstr>List_Electrometers</vt:lpstr>
      <vt:lpstr>List_Farmer_Probes</vt:lpstr>
      <vt:lpstr>List_Machine</vt:lpstr>
      <vt:lpstr>List_Markus_Probes</vt:lpstr>
      <vt:lpstr>List_Month</vt:lpstr>
      <vt:lpstr>List_Personnel</vt:lpstr>
      <vt:lpstr>List_Status1</vt:lpstr>
      <vt:lpstr>List_Status2</vt:lpstr>
      <vt:lpstr>List_Status3</vt:lpstr>
      <vt:lpstr>List_Status4</vt:lpstr>
      <vt:lpstr>List_Student</vt:lpstr>
      <vt:lpstr>List_Year</vt:lpstr>
      <vt:lpstr>Main!Print_Area</vt:lpstr>
      <vt:lpstr>QATrack_Main!Print_Area</vt:lpstr>
    </vt:vector>
  </TitlesOfParts>
  <Company>PHSABC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DMWells</dc:creator>
  <cp:lastModifiedBy>Bromma, Kyle [BCCancer]</cp:lastModifiedBy>
  <cp:lastPrinted>2013-03-12T16:30:14Z</cp:lastPrinted>
  <dcterms:created xsi:type="dcterms:W3CDTF">2011-05-04T16:37:19Z</dcterms:created>
  <dcterms:modified xsi:type="dcterms:W3CDTF">2023-08-04T18:55:28Z</dcterms:modified>
</cp:coreProperties>
</file>