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"/>
    </mc:Choice>
  </mc:AlternateContent>
  <bookViews>
    <workbookView minimized="1" xWindow="0" yWindow="0" windowWidth="14370" windowHeight="11670"/>
  </bookViews>
  <sheets>
    <sheet name="Main" sheetId="1" r:id="rId1"/>
    <sheet name="Data" sheetId="3" r:id="rId2"/>
    <sheet name="Info" sheetId="2" r:id="rId3"/>
    <sheet name="QATrack" sheetId="5" r:id="rId4"/>
  </sheets>
  <definedNames>
    <definedName name="List_Electrometers">Data!$M$31:$M$35</definedName>
    <definedName name="List_Farmer_Probes">Data!$A$31:$A$36</definedName>
    <definedName name="List_Machine">Data!$A$21:$A$26</definedName>
    <definedName name="List_Markus_Probes">Data!$G$31:$G$34</definedName>
    <definedName name="List_Month">Data!$C$2:$C$13</definedName>
    <definedName name="List_Personnel">Data!$A$2:$A$14</definedName>
    <definedName name="List_Status1">Data!$M$2:$M$4</definedName>
    <definedName name="List_Status2">Data!$O$2:$O$3</definedName>
    <definedName name="List_Status3">Data!$Q$2:$Q$3</definedName>
    <definedName name="List_Status4">Data!$S$2:$S$3</definedName>
    <definedName name="List_Student">Data!$U$2:$U$7</definedName>
    <definedName name="List_Year">Data!$D$2:$D$13</definedName>
    <definedName name="_xlnm.Print_Area" localSheetId="0">Main!$B$10:$M$381</definedName>
    <definedName name="Z_FA2D1B4E_F89E_4C35_9D43_0653EC39ACA4_.wvu.PrintArea" localSheetId="0" hidden="1">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D47" i="1"/>
  <c r="J3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/>
  <c r="I132" i="1"/>
  <c r="J132" i="1"/>
  <c r="I133" i="1"/>
  <c r="J133" i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E72" i="1"/>
  <c r="E62" i="1"/>
  <c r="L377" i="1"/>
  <c r="D85" i="1"/>
  <c r="D55" i="1"/>
  <c r="E63" i="1" l="1"/>
  <c r="I63" i="1" s="1"/>
  <c r="K63" i="1" s="1"/>
  <c r="M63" i="1" s="1"/>
  <c r="I88" i="1"/>
  <c r="K88" i="1" s="1"/>
  <c r="M88" i="1" s="1"/>
  <c r="I62" i="1"/>
  <c r="K62" i="1" s="1"/>
  <c r="M62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H55" i="1"/>
  <c r="J55" i="1" s="1"/>
  <c r="L55" i="1" s="1"/>
  <c r="J137" i="1"/>
  <c r="I85" i="1"/>
  <c r="K85" i="1" s="1"/>
  <c r="M85" i="1" s="1"/>
  <c r="H98" i="1"/>
  <c r="J98" i="1" s="1"/>
  <c r="L98" i="1" s="1"/>
  <c r="J135" i="1"/>
  <c r="I120" i="1"/>
  <c r="K120" i="1" s="1"/>
  <c r="M120" i="1" s="1"/>
  <c r="I72" i="1"/>
  <c r="K72" i="1" s="1"/>
  <c r="M72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47" i="1"/>
  <c r="K47" i="1" s="1"/>
  <c r="M47" i="1" s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<sst xmlns="http://schemas.openxmlformats.org/spreadsheetml/2006/main" count="924" uniqueCount="528">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</sst>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7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0" fillId="9" borderId="8" xfId="0" applyFill="1" applyBorder="1" applyAlignment="1"/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</cellXfs>
  <cellStyles count="1">
    <cellStyle name="Normal" xfId="0" builtinId="0"/>
  </cellStyles>
  <dxfs count="40"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2.emf"/><Relationship Id="rId18" Type="http://schemas.openxmlformats.org/officeDocument/2006/relationships/image" Target="../media/image4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0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3.emf"/><Relationship Id="rId20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9.xml"/><Relationship Id="rId23" Type="http://schemas.openxmlformats.org/officeDocument/2006/relationships/comments" Target="../comments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abSelected="1" topLeftCell="A19" zoomScaleNormal="100" workbookViewId="0">
      <selection activeCell="E47" sqref="E47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1"/>
      <c r="I12" s="312"/>
      <c r="J12" s="313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3"/>
      <c r="G15" s="324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4"/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228"/>
      <c r="O17" s="4"/>
    </row>
    <row r="18" spans="2:15" x14ac:dyDescent="0.2">
      <c r="B18" s="227"/>
      <c r="C18" s="317"/>
      <c r="D18" s="318"/>
      <c r="E18" s="318"/>
      <c r="F18" s="318"/>
      <c r="G18" s="318"/>
      <c r="H18" s="318"/>
      <c r="I18" s="318"/>
      <c r="J18" s="318"/>
      <c r="K18" s="318"/>
      <c r="L18" s="318"/>
      <c r="M18" s="319"/>
      <c r="N18" s="228"/>
      <c r="O18" s="4"/>
    </row>
    <row r="19" spans="2:15" x14ac:dyDescent="0.2">
      <c r="B19" s="227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5"/>
      <c r="G21" s="326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05"/>
      <c r="L24" s="305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02"/>
      <c r="K27" s="303"/>
      <c r="L27" s="303"/>
      <c r="M27" s="304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02"/>
      <c r="K28" s="303"/>
      <c r="L28" s="303"/>
      <c r="M28" s="304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02"/>
      <c r="K29" s="303"/>
      <c r="L29" s="303"/>
      <c r="M29" s="304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02"/>
      <c r="K30" s="303"/>
      <c r="L30" s="303"/>
      <c r="M30" s="304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02"/>
      <c r="K31" s="303"/>
      <c r="L31" s="303"/>
      <c r="M31" s="304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05"/>
      <c r="L33" s="305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59"/>
      <c r="E35" s="1"/>
      <c r="F35" s="22" t="s">
        <v>249</v>
      </c>
      <c r="G35" s="59"/>
      <c r="H35" s="1"/>
      <c r="I35" s="22" t="s">
        <v>262</v>
      </c>
      <c r="J35" s="23" t="str">
        <f>IF(OR(D35="",G35=""),"",(760/D35)*(273.15+G35)/295.15)</f>
        <v/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21"/>
      <c r="E37" s="1"/>
      <c r="F37" s="24" t="s">
        <v>28</v>
      </c>
      <c r="G37" s="25"/>
      <c r="H37" s="7"/>
      <c r="I37" s="185" t="s">
        <v>479</v>
      </c>
      <c r="J37" s="71" t="str">
        <f>IF(D37="","",VLOOKUP(D37,Data!A31:E36,5,FALSE))</f>
        <v/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 t="str">
        <f>IF(H$12="","",VLOOKUP(H$12,Data!$S$32:$X$37,3,FALSE))</f>
        <v/>
      </c>
      <c r="E47" s="33"/>
      <c r="F47" s="33"/>
      <c r="G47" s="33"/>
      <c r="H47" s="38" t="str">
        <f>IF(OR(E47&lt;&gt;"",F47&lt;&gt;"",G47&lt;&gt;""),AVERAGE(E47:G47),"")</f>
        <v/>
      </c>
      <c r="I47" s="35" t="str">
        <f>IF(OR(H47="",D47="",$J$35="",$J$37=""),"",H47*D47*$J$35*$J$37)</f>
        <v/>
      </c>
      <c r="J47" s="35">
        <f>IF(C47="","",100)</f>
        <v>100</v>
      </c>
      <c r="K47" s="35" t="str">
        <f>IF(I47&lt;&gt;"",I47-J47,"")</f>
        <v/>
      </c>
      <c r="L47" s="35">
        <f>IF(C47="","",2)</f>
        <v>2</v>
      </c>
      <c r="M47" s="36" t="str">
        <f>IF(K47="","",IF(ABS(K47)&lt;=L47/2,"PASS",IF(ABS(K47)&lt;=L47,"MARGINAL","FAIL")))</f>
        <v/>
      </c>
      <c r="N47" s="231"/>
      <c r="O47" s="4"/>
    </row>
    <row r="48" spans="2:61" x14ac:dyDescent="0.2">
      <c r="B48" s="227"/>
      <c r="C48" s="37">
        <v>10</v>
      </c>
      <c r="D48" s="77" t="str">
        <f>IF(H$12="","",VLOOKUP(H$12,Data!$S$32:$X$37,4,FALSE))</f>
        <v/>
      </c>
      <c r="E48" s="33"/>
      <c r="F48" s="33"/>
      <c r="G48" s="33"/>
      <c r="H48" s="38" t="str">
        <f>IF(OR(E48&lt;&gt;"",F48&lt;&gt;"",G48&lt;&gt;""),AVERAGE(E48:G48),"")</f>
        <v/>
      </c>
      <c r="I48" s="35" t="str">
        <f>IF(OR(H48="",D48="",$J$35="",$J$37=""),"",H48*D48*$J$35*$J$37)</f>
        <v/>
      </c>
      <c r="J48" s="39">
        <f>IF(C48="","",100)</f>
        <v>100</v>
      </c>
      <c r="K48" s="39" t="str">
        <f>IF(I48&lt;&gt;"",I48-J48,"")</f>
        <v/>
      </c>
      <c r="L48" s="39">
        <f>IF(C48="","",2)</f>
        <v>2</v>
      </c>
      <c r="M48" s="36" t="str">
        <f>IF(K48="","",IF(ABS(K48)&lt;=L48/2,"PASS",IF(ABS(K48)&lt;=L48,"MARGINAL","FAIL")))</f>
        <v/>
      </c>
      <c r="N48" s="231"/>
      <c r="O48" s="4"/>
    </row>
    <row r="49" spans="2:16" x14ac:dyDescent="0.2">
      <c r="B49" s="227"/>
      <c r="C49" s="37" t="s">
        <v>137</v>
      </c>
      <c r="D49" s="77" t="str">
        <f>IF(H$12="","",VLOOKUP(H$12,Data!$S$32:$X$37,6,FALSE))</f>
        <v/>
      </c>
      <c r="E49" s="33"/>
      <c r="F49" s="33"/>
      <c r="G49" s="33"/>
      <c r="H49" s="38" t="str">
        <f>IF(OR(E49&lt;&gt;"",F49&lt;&gt;"",G49&lt;&gt;""),AVERAGE(E49:G49),"")</f>
        <v/>
      </c>
      <c r="I49" s="35" t="str">
        <f>IF(OR(H49="",D49="",$J$35="",$J$37=""),"",H49*D49*$J$35*$J$37)</f>
        <v/>
      </c>
      <c r="J49" s="39">
        <f>IF(C49="","",100)</f>
        <v>100</v>
      </c>
      <c r="K49" s="39" t="str">
        <f>IF(I49&lt;&gt;"",I49-J49,"")</f>
        <v/>
      </c>
      <c r="L49" s="39">
        <f>IF(C49="","",2)</f>
        <v>2</v>
      </c>
      <c r="M49" s="36" t="str">
        <f>IF(K49="","",IF(ABS(K49)&lt;=L49/2,"PASS",IF(ABS(K49)&lt;=L49,"MARGINAL","FAIL")))</f>
        <v/>
      </c>
      <c r="N49" s="231"/>
      <c r="O49" s="4"/>
    </row>
    <row r="50" spans="2:16" x14ac:dyDescent="0.2">
      <c r="B50" s="227"/>
      <c r="C50" s="37">
        <v>15</v>
      </c>
      <c r="D50" s="77" t="str">
        <f>IF(H$12="","",VLOOKUP(H$12,Data!$S$32:$X$37,5,FALSE))</f>
        <v/>
      </c>
      <c r="E50" s="33"/>
      <c r="F50" s="33"/>
      <c r="G50" s="33"/>
      <c r="H50" s="38" t="str">
        <f>IF(OR(E50&lt;&gt;"",F50&lt;&gt;"",G50&lt;&gt;""),AVERAGE(E50:G50),"")</f>
        <v/>
      </c>
      <c r="I50" s="35" t="str">
        <f>IF(OR(H50="",D50="",$J$35="",$J$37=""),"",H50*D50*$J$35*$J$37)</f>
        <v/>
      </c>
      <c r="J50" s="39">
        <f>IF(C50="","",100)</f>
        <v>100</v>
      </c>
      <c r="K50" s="39" t="str">
        <f>IF(I50&lt;&gt;"",I50-J50,"")</f>
        <v/>
      </c>
      <c r="L50" s="39">
        <f>IF(C50="","",2)</f>
        <v>2</v>
      </c>
      <c r="M50" s="36" t="str">
        <f>IF(K50="","",IF(ABS(K50)&lt;=L50/2,"PASS",IF(ABS(K50)&lt;=L50,"MARGINAL","FAIL")))</f>
        <v/>
      </c>
      <c r="N50" s="231"/>
      <c r="O50" s="4"/>
    </row>
    <row r="51" spans="2:16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 t="str">
        <f>IF(H47="","",H47)</f>
        <v/>
      </c>
      <c r="E55" s="109"/>
      <c r="F55" s="109"/>
      <c r="G55" s="44" t="str">
        <f>IF(AND(E55="",F55=""),"",AVERAGE(E55:F55))</f>
        <v/>
      </c>
      <c r="H55" s="44" t="str">
        <f>IF(OR(D55="",G55=""),"",G55/D55)</f>
        <v/>
      </c>
      <c r="I55" s="32">
        <f>Data!B52</f>
        <v>0.65500000000000003</v>
      </c>
      <c r="J55" s="35" t="str">
        <f>IF(H55="","",100*(H55-I55)/I55)</f>
        <v/>
      </c>
      <c r="K55" s="35">
        <v>2</v>
      </c>
      <c r="L55" s="36" t="str">
        <f>IF(J55="","",IF(ABS(J55)&lt;=K55/2,"PASS",IF(ABS(J55)&lt;=K55,"MARGINAL","FAIL")))</f>
        <v/>
      </c>
      <c r="M55" s="41"/>
      <c r="N55" s="232"/>
      <c r="O55" s="4"/>
    </row>
    <row r="56" spans="2:16" x14ac:dyDescent="0.2">
      <c r="B56" s="227"/>
      <c r="C56" s="45">
        <v>10</v>
      </c>
      <c r="D56" s="38" t="str">
        <f>IF(H48="","",H48)</f>
        <v/>
      </c>
      <c r="E56" s="49"/>
      <c r="F56" s="49"/>
      <c r="G56" s="38" t="str">
        <f>IF(AND(E56="",F56=""),"",AVERAGE(E56:F56))</f>
        <v/>
      </c>
      <c r="H56" s="44" t="str">
        <f>IF(OR(D56="",G56=""),"",G56/D56)</f>
        <v/>
      </c>
      <c r="I56" s="32">
        <f>Data!B53</f>
        <v>0.69599999999999995</v>
      </c>
      <c r="J56" s="35" t="str">
        <f>IF(H56="","",100*(H56-I56)/I56)</f>
        <v/>
      </c>
      <c r="K56" s="39">
        <v>2</v>
      </c>
      <c r="L56" s="36" t="str">
        <f>IF(J56="","",IF(ABS(J56)&lt;=K56/2,"PASS",IF(ABS(J56)&lt;=K56,"MARGINAL","FAIL")))</f>
        <v/>
      </c>
      <c r="M56" s="41"/>
      <c r="N56" s="232"/>
      <c r="O56" s="4"/>
    </row>
    <row r="57" spans="2:16" x14ac:dyDescent="0.2">
      <c r="B57" s="227"/>
      <c r="C57" s="45">
        <v>15</v>
      </c>
      <c r="D57" s="38" t="str">
        <f>IF(H50="","",H50)</f>
        <v/>
      </c>
      <c r="E57" s="49"/>
      <c r="F57" s="49"/>
      <c r="G57" s="38" t="str">
        <f>IF(AND(E57="",F57=""),"",AVERAGE(E57:F57))</f>
        <v/>
      </c>
      <c r="H57" s="44" t="str">
        <f>IF(OR(D57="",G57=""),"",G57/D57)</f>
        <v/>
      </c>
      <c r="I57" s="32">
        <f>Data!B54</f>
        <v>0.71199999999999997</v>
      </c>
      <c r="J57" s="35" t="str">
        <f>IF(H57="","",100*(H57-I57)/I57)</f>
        <v/>
      </c>
      <c r="K57" s="39">
        <v>2</v>
      </c>
      <c r="L57" s="36" t="str">
        <f>IF(J57="","",IF(ABS(J57)&lt;=K57/2,"PASS",IF(ABS(J57)&lt;=K57,"MARGINAL","FAIL")))</f>
        <v/>
      </c>
      <c r="M57" s="41"/>
      <c r="N57" s="232"/>
      <c r="O57" s="4"/>
    </row>
    <row r="58" spans="2:16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 t="str">
        <f>IF($H$47="","",$H$47)</f>
        <v/>
      </c>
      <c r="F62" s="109"/>
      <c r="G62" s="109"/>
      <c r="H62" s="44" t="str">
        <f>IF(AND(F62="",G62=""),"",AVERAGE(F62:G62))</f>
        <v/>
      </c>
      <c r="I62" s="56" t="str">
        <f>IF(OR(E62="",H62=""),"",H62/E62)</f>
        <v/>
      </c>
      <c r="J62" s="56">
        <f>IF($H$12="VIOAK_TB6",Data!L52,Data!K52)</f>
        <v>7.46E-2</v>
      </c>
      <c r="K62" s="35" t="str">
        <f>IF(I62="","",100*(I62-J62)/J62)</f>
        <v/>
      </c>
      <c r="L62" s="35">
        <v>2</v>
      </c>
      <c r="M62" s="36" t="str">
        <f>IF(K62="","",IF(ABS(K62)&lt;=L62/2,"PASS",IF(ABS(K62)&lt;=L62,"MARGINAL","FAIL")))</f>
        <v/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 t="str">
        <f>IF($H$47="","",$H$47)</f>
        <v/>
      </c>
      <c r="F63" s="46"/>
      <c r="G63" s="46"/>
      <c r="H63" s="44" t="str">
        <f>IF(AND(F63="",G63=""),"",AVERAGE(F63:G63))</f>
        <v/>
      </c>
      <c r="I63" s="56" t="str">
        <f>IF(OR(E63="",H63=""),"",H63/E63)</f>
        <v/>
      </c>
      <c r="J63" s="56">
        <f>IF($H$12="VIOAK_TB6",Data!L52,Data!K52)</f>
        <v>7.46E-2</v>
      </c>
      <c r="K63" s="35" t="str">
        <f>IF(I63="","",100*(I63-J63)/J63)</f>
        <v/>
      </c>
      <c r="L63" s="39">
        <v>3</v>
      </c>
      <c r="M63" s="36" t="str">
        <f>IF(K63="","",IF(ABS(K63)&lt;=L63/2,"PASS",IF(ABS(K63)&lt;=L63,"MARGINAL","FAIL")))</f>
        <v/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 t="str">
        <f>IF($H$47="","",$H$47)</f>
        <v/>
      </c>
      <c r="F64" s="49"/>
      <c r="G64" s="49"/>
      <c r="H64" s="34" t="str">
        <f>IF(AND(F64="",G64=""),"",AVERAGE(F64:G64))</f>
        <v/>
      </c>
      <c r="I64" s="44" t="str">
        <f>IF(OR(E64="",H64=""),"",H64/E64)</f>
        <v/>
      </c>
      <c r="J64" s="56">
        <f>IF($H$12="VIOAK_TB6",Data!L53,Data!K53)</f>
        <v>0.93</v>
      </c>
      <c r="K64" s="35" t="str">
        <f>IF(I64="","",100*(I64-J64)/J64)</f>
        <v/>
      </c>
      <c r="L64" s="39">
        <v>2</v>
      </c>
      <c r="M64" s="36" t="str">
        <f>IF(K64="","",IF(ABS(K64)&lt;=L64/2,"PASS",IF(ABS(K64)&lt;=L64,"MARGINAL","FAIL")))</f>
        <v/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 t="str">
        <f>IF($H$47="","",$H$47)</f>
        <v/>
      </c>
      <c r="F65" s="46"/>
      <c r="G65" s="46"/>
      <c r="H65" s="44" t="str">
        <f>IF(AND(F65="",G65=""),"",AVERAGE(F65:G65))</f>
        <v/>
      </c>
      <c r="I65" s="44" t="str">
        <f>IF(OR(E65="",H65=""),"",H65/E65)</f>
        <v/>
      </c>
      <c r="J65" s="56">
        <f>IF($H$12="VIOAK_TB6",Data!L54,Data!K54)</f>
        <v>0.626</v>
      </c>
      <c r="K65" s="35" t="str">
        <f>IF(I65="","",100*(I65-J65)/J65)</f>
        <v/>
      </c>
      <c r="L65" s="39">
        <v>2</v>
      </c>
      <c r="M65" s="36" t="str">
        <f>IF(K65="","",IF(ABS(K65)&lt;=L65/2,"PASS",IF(ABS(K65)&lt;=L65,"MARGINAL","FAIL")))</f>
        <v/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 t="str">
        <f>IF($H$47="","",$H$47)</f>
        <v/>
      </c>
      <c r="F66" s="46"/>
      <c r="G66" s="46"/>
      <c r="H66" s="44" t="str">
        <f>IF(AND(F66="",G66=""),"",AVERAGE(F66:G66))</f>
        <v/>
      </c>
      <c r="I66" s="44" t="str">
        <f>IF(OR(E66="",H66=""),"",H66/E66)</f>
        <v/>
      </c>
      <c r="J66" s="56">
        <f>IF($H$12="VIOAK_TB6",Data!L55,Data!K55)</f>
        <v>0.23400000000000001</v>
      </c>
      <c r="K66" s="35" t="str">
        <f>IF(I66="","",100*(I66-J66)/J66)</f>
        <v/>
      </c>
      <c r="L66" s="39">
        <v>2</v>
      </c>
      <c r="M66" s="36" t="str">
        <f>IF(K66="","",IF(ABS(K66)&lt;=L66/2,"PASS",IF(ABS(K66)&lt;=L66,"MARGINAL","FAIL")))</f>
        <v/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 t="str">
        <f>IF($H$47="","",$H$47)</f>
        <v/>
      </c>
      <c r="F72" s="33"/>
      <c r="G72" s="33"/>
      <c r="H72" s="34" t="str">
        <f>IF(AND(F72="",G72=""),"",AVERAGE(F72:G72))</f>
        <v/>
      </c>
      <c r="I72" s="44" t="str">
        <f>IF(OR(E72="",H72=""),"",H72/E72)</f>
        <v/>
      </c>
      <c r="J72" s="56">
        <f>IF($H$12="VIOAK_TB6",Data!L56,Data!K56)</f>
        <v>1.498</v>
      </c>
      <c r="K72" s="35" t="str">
        <f>IF(I72="","",100*(I72-J72)/J72)</f>
        <v/>
      </c>
      <c r="L72" s="35">
        <v>3</v>
      </c>
      <c r="M72" s="36" t="str">
        <f>IF(K72="","",IF(ABS(K72)&lt;=L72/2,"PASS",IF(ABS(K72)&lt;=L72,"MARGINAL","FAIL")))</f>
        <v/>
      </c>
      <c r="N72" s="231"/>
      <c r="O72" s="4"/>
    </row>
    <row r="73" spans="2:16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33"/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 t="str">
        <f>IF(H47="","",H47)</f>
        <v/>
      </c>
      <c r="E85" s="100">
        <v>2.5</v>
      </c>
      <c r="F85" s="33"/>
      <c r="G85" s="33"/>
      <c r="H85" s="34" t="str">
        <f>IF(AND(F85="",G85=""),"",AVERAGE(F85:G85))</f>
        <v/>
      </c>
      <c r="I85" s="44" t="str">
        <f>IF(OR(D85="",H85=""),"",D85/H85)</f>
        <v/>
      </c>
      <c r="J85" s="44">
        <f>Data!H52</f>
        <v>0.78400000000000003</v>
      </c>
      <c r="K85" s="35" t="str">
        <f>IF(I85="","",100*(I85-J85)/J85)</f>
        <v/>
      </c>
      <c r="L85" s="35">
        <v>2</v>
      </c>
      <c r="M85" s="36" t="str">
        <f>IF(K85="","",IF(ABS(K85)&lt;=L85/2,"PASS",IF(ABS(K85)&lt;=L85,"MARGINAL","FAIL")))</f>
        <v/>
      </c>
      <c r="N85" s="231"/>
      <c r="O85" s="4"/>
      <c r="T85" s="169"/>
    </row>
    <row r="86" spans="2:20" ht="15" x14ac:dyDescent="0.25">
      <c r="B86" s="227"/>
      <c r="C86" s="29">
        <v>10</v>
      </c>
      <c r="D86" s="34" t="str">
        <f>IF(H48="","",H48)</f>
        <v/>
      </c>
      <c r="E86" s="100">
        <v>2.5</v>
      </c>
      <c r="F86" s="49"/>
      <c r="G86" s="49"/>
      <c r="H86" s="38" t="str">
        <f>IF(AND(F86="",G86=""),"",AVERAGE(F86:G86))</f>
        <v/>
      </c>
      <c r="I86" s="44" t="str">
        <f>IF(OR(D86="",H86=""),"",D86/H86)</f>
        <v/>
      </c>
      <c r="J86" s="44">
        <f>Data!H53</f>
        <v>0.84099999999999997</v>
      </c>
      <c r="K86" s="35" t="str">
        <f>IF(I86="","",100*(I86-J86)/J86)</f>
        <v/>
      </c>
      <c r="L86" s="39">
        <v>2</v>
      </c>
      <c r="M86" s="36" t="str">
        <f>IF(K86="","",IF(ABS(K86)&lt;=L86/2,"PASS",IF(ABS(K86)&lt;=L86,"MARGINAL","FAIL")))</f>
        <v/>
      </c>
      <c r="N86" s="231"/>
      <c r="O86" s="4"/>
      <c r="T86" s="169"/>
    </row>
    <row r="87" spans="2:20" ht="15" x14ac:dyDescent="0.25">
      <c r="B87" s="227"/>
      <c r="C87" s="53" t="s">
        <v>137</v>
      </c>
      <c r="D87" s="34" t="str">
        <f>IF(H49="","",H49)</f>
        <v/>
      </c>
      <c r="E87" s="100">
        <v>2.5</v>
      </c>
      <c r="F87" s="49"/>
      <c r="G87" s="49"/>
      <c r="H87" s="38" t="str">
        <f>IF(AND(F87="",G87=""),"",AVERAGE(F87:G87))</f>
        <v/>
      </c>
      <c r="I87" s="44" t="str">
        <f>IF(OR(D87="",H87=""),"",D87/H87)</f>
        <v/>
      </c>
      <c r="J87" s="44">
        <f>Data!H54</f>
        <v>0.80800000000000005</v>
      </c>
      <c r="K87" s="35" t="str">
        <f>IF(I87="","",100*(I87-J87)/J87)</f>
        <v/>
      </c>
      <c r="L87" s="39">
        <v>2</v>
      </c>
      <c r="M87" s="36" t="str">
        <f>IF(K87="","",IF(ABS(K87)&lt;=L87/2,"PASS",IF(ABS(K87)&lt;=L87,"MARGINAL","FAIL")))</f>
        <v/>
      </c>
      <c r="N87" s="231"/>
      <c r="O87" s="4"/>
      <c r="T87" s="169"/>
    </row>
    <row r="88" spans="2:20" ht="15" x14ac:dyDescent="0.25">
      <c r="B88" s="227"/>
      <c r="C88" s="29">
        <v>15</v>
      </c>
      <c r="D88" s="34" t="str">
        <f>IF(H50="","",H50)</f>
        <v/>
      </c>
      <c r="E88" s="100">
        <v>2.5</v>
      </c>
      <c r="F88" s="49"/>
      <c r="G88" s="49"/>
      <c r="H88" s="38" t="str">
        <f>IF(AND(F88="",G88=""),"",AVERAGE(F88:G88))</f>
        <v/>
      </c>
      <c r="I88" s="44" t="str">
        <f>IF(OR(D88="",H88=""),"",D88/H88)</f>
        <v/>
      </c>
      <c r="J88" s="44">
        <f>Data!H55</f>
        <v>0.879</v>
      </c>
      <c r="K88" s="35" t="str">
        <f>IF(I88="","",100*(I88-J88)/J88)</f>
        <v/>
      </c>
      <c r="L88" s="39">
        <v>2</v>
      </c>
      <c r="M88" s="36" t="str">
        <f>IF(K88="","",IF(ABS(K88)&lt;=L88/2,"PASS",IF(ABS(K88)&lt;=L88,"MARGINAL","FAIL")))</f>
        <v/>
      </c>
      <c r="N88" s="231"/>
      <c r="O88" s="4"/>
    </row>
    <row r="89" spans="2:20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/>
      <c r="H98" s="23" t="str">
        <f>IF(OR($J$35="",$J$37="",G98=""),"",G98*$J$35*$J$37)</f>
        <v/>
      </c>
      <c r="I98" s="138">
        <f>Data!S52</f>
        <v>0.23</v>
      </c>
      <c r="J98" s="127" t="str">
        <f>IF(H98="","",100*ABS(H98-I98)/I98)</f>
        <v/>
      </c>
      <c r="K98" s="127">
        <v>5</v>
      </c>
      <c r="L98" s="36" t="str">
        <f>IF(J98="","",IF(ABS(J98)&lt;=K98/2,"PASS",IF(ABS(J98)&lt;=K98,"MARGINAL","FAIL")))</f>
        <v/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/>
      <c r="H99" s="23" t="str">
        <f>IF(OR($J$35="",$J$37="",G99=""),"",G99*$J$35*$J$37)</f>
        <v/>
      </c>
      <c r="I99" s="138">
        <f>Data!S53</f>
        <v>1.06</v>
      </c>
      <c r="J99" s="127" t="str">
        <f>IF(H99="","",100*ABS(H99-I99)/I99)</f>
        <v/>
      </c>
      <c r="K99" s="127">
        <v>5</v>
      </c>
      <c r="L99" s="36" t="str">
        <f>IF(J99="","",IF(ABS(J99)&lt;=K99/2,"PASS",IF(ABS(J99)&lt;=K99,"MARGINAL","FAIL")))</f>
        <v/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/>
      <c r="H100" s="23" t="str">
        <f>IF(OR($J$35="",$J$37="",G100=""),"",G100*$J$35*$J$37)</f>
        <v/>
      </c>
      <c r="I100" s="138">
        <f>Data!S54</f>
        <v>0.28000000000000003</v>
      </c>
      <c r="J100" s="127" t="str">
        <f>IF(H100="","",100*ABS(H100-I100)/I100)</f>
        <v/>
      </c>
      <c r="K100" s="127">
        <v>5</v>
      </c>
      <c r="L100" s="36" t="str">
        <f>IF(J100="","",IF(ABS(J100)&lt;=K100/2,"PASS",IF(ABS(J100)&lt;=K100,"MARGINAL","FAIL")))</f>
        <v/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/>
      <c r="H101" s="23" t="str">
        <f>IF(OR($J$35="",$J$37="",G101=""),"",G101*$J$35*$J$37)</f>
        <v/>
      </c>
      <c r="I101" s="138">
        <f>Data!S55</f>
        <v>2.35</v>
      </c>
      <c r="J101" s="127" t="str">
        <f>IF(H101="","",100*ABS(H101-I101)/I101)</f>
        <v/>
      </c>
      <c r="K101" s="127">
        <v>5</v>
      </c>
      <c r="L101" s="36" t="str">
        <f>IF(J101="","",IF(ABS(J101)&lt;=K101/2,"PASS",IF(ABS(J101)&lt;=K101,"MARGINAL","FAIL")))</f>
        <v/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05"/>
      <c r="L103" s="305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hidden="1" x14ac:dyDescent="0.35">
      <c r="B105" s="227"/>
      <c r="C105" s="22" t="s">
        <v>250</v>
      </c>
      <c r="D105" s="59"/>
      <c r="E105" s="7"/>
      <c r="F105" s="22" t="s">
        <v>249</v>
      </c>
      <c r="G105" s="59"/>
      <c r="H105" s="1"/>
      <c r="I105" s="22" t="s">
        <v>262</v>
      </c>
      <c r="J105" s="23" t="str">
        <f>IF(OR(D105="",G105=""),"",(760/D105)*(273.15+G105)/295.15)</f>
        <v/>
      </c>
      <c r="K105" s="80"/>
      <c r="L105" s="80"/>
      <c r="M105" s="80"/>
      <c r="N105" s="228"/>
      <c r="O105" s="4"/>
      <c r="T105" s="5"/>
    </row>
    <row r="106" spans="2:20" hidden="1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hidden="1" x14ac:dyDescent="0.25">
      <c r="B107" s="227"/>
      <c r="C107" s="24" t="s">
        <v>123</v>
      </c>
      <c r="D107" s="21"/>
      <c r="E107" s="80"/>
      <c r="F107" s="24" t="s">
        <v>28</v>
      </c>
      <c r="G107" s="25"/>
      <c r="H107" s="7"/>
      <c r="I107" s="185" t="s">
        <v>479</v>
      </c>
      <c r="J107" s="71" t="str">
        <f>IF(D107="","",VLOOKUP(D107,Data!G31:K34,5,FALSE))</f>
        <v/>
      </c>
      <c r="K107" s="80"/>
      <c r="L107" s="80"/>
      <c r="M107" s="80"/>
      <c r="N107" s="228"/>
      <c r="O107" s="4"/>
    </row>
    <row r="108" spans="2:20" hidden="1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hidden="1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hidden="1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hidden="1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hidden="1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hidden="1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hidden="1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hidden="1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hidden="1" x14ac:dyDescent="0.2">
      <c r="B116" s="264">
        <v>1.5</v>
      </c>
      <c r="C116" s="50" t="s">
        <v>175</v>
      </c>
      <c r="D116" s="202" t="str">
        <f>IF(H$12="","",VLOOKUP(H$12,Data!$AA$32:$AG$34,3,FALSE))</f>
        <v/>
      </c>
      <c r="E116" s="109"/>
      <c r="F116" s="109"/>
      <c r="G116" s="109"/>
      <c r="H116" s="44" t="str">
        <f>IF(OR(E116&lt;&gt;"",F116&lt;&gt;"",G116&lt;&gt;""),AVERAGE(E116:G116),"")</f>
        <v/>
      </c>
      <c r="I116" s="35" t="str">
        <f>IF(OR(H116="",D116="",$J$105="",$J$107=""),"",H116*D116*$J$105*$J$107)</f>
        <v/>
      </c>
      <c r="J116" s="35">
        <f>IF(C116="","",100)</f>
        <v>100</v>
      </c>
      <c r="K116" s="35" t="str">
        <f>IF(I116&lt;&gt;"",I116-J116,"")</f>
        <v/>
      </c>
      <c r="L116" s="35">
        <f>IF(C116="","",2)</f>
        <v>2</v>
      </c>
      <c r="M116" s="36" t="str">
        <f>IF(K116="","",IF(ABS(K116)&lt;=L116/2,"PASS",IF(ABS(K116)&lt;=L116,"MARGINAL","FAIL")))</f>
        <v/>
      </c>
      <c r="N116" s="231"/>
      <c r="P116" s="96" t="s">
        <v>159</v>
      </c>
    </row>
    <row r="117" spans="2:16" hidden="1" x14ac:dyDescent="0.2">
      <c r="B117" s="264">
        <v>2.5</v>
      </c>
      <c r="C117" s="50" t="s">
        <v>176</v>
      </c>
      <c r="D117" s="202" t="str">
        <f>IF(H$12="","",VLOOKUP(H$12,Data!$AA$32:$AG$34,4,FALSE))</f>
        <v/>
      </c>
      <c r="E117" s="46"/>
      <c r="F117" s="46"/>
      <c r="G117" s="46"/>
      <c r="H117" s="44" t="str">
        <f>IF(OR(E117&lt;&gt;"",F117&lt;&gt;"",G117&lt;&gt;""),AVERAGE(E117:G117),"")</f>
        <v/>
      </c>
      <c r="I117" s="35" t="str">
        <f>IF(OR(H117="",D117="",$J$105="",$J$107=""),"",H117*D117*$J$105*$J$107)</f>
        <v/>
      </c>
      <c r="J117" s="39">
        <f>IF(C117="","",100)</f>
        <v>100</v>
      </c>
      <c r="K117" s="39" t="str">
        <f>IF(I117&lt;&gt;"",I117-J117,"")</f>
        <v/>
      </c>
      <c r="L117" s="39">
        <f>IF(C117="","",2)</f>
        <v>2</v>
      </c>
      <c r="M117" s="36" t="str">
        <f>IF(K117="","",IF(ABS(K117)&lt;=L117/2,"PASS",IF(ABS(K117)&lt;=L117,"MARGINAL","FAIL")))</f>
        <v/>
      </c>
      <c r="N117" s="231"/>
      <c r="P117" s="96" t="s">
        <v>160</v>
      </c>
    </row>
    <row r="118" spans="2:16" hidden="1" x14ac:dyDescent="0.2">
      <c r="B118" s="264">
        <v>2.5</v>
      </c>
      <c r="C118" s="50" t="s">
        <v>177</v>
      </c>
      <c r="D118" s="202" t="str">
        <f>IF(H$12="","",VLOOKUP(H$12,Data!$AA$32:$AG$34,5,FALSE))</f>
        <v/>
      </c>
      <c r="E118" s="109"/>
      <c r="F118" s="109"/>
      <c r="G118" s="109"/>
      <c r="H118" s="44" t="str">
        <f>IF(OR(E118&lt;&gt;"",F118&lt;&gt;"",G118&lt;&gt;""),AVERAGE(E118:G118),"")</f>
        <v/>
      </c>
      <c r="I118" s="35" t="str">
        <f>IF(OR(H118="",D118="",$J$105="",$J$107=""),"",H118*D118*$J$105*$J$107)</f>
        <v/>
      </c>
      <c r="J118" s="35">
        <f>IF(C118="","",100)</f>
        <v>100</v>
      </c>
      <c r="K118" s="35" t="str">
        <f>IF(I118&lt;&gt;"",I118-J118,"")</f>
        <v/>
      </c>
      <c r="L118" s="35">
        <f>IF(C118="","",2)</f>
        <v>2</v>
      </c>
      <c r="M118" s="36" t="str">
        <f>IF(K118="","",IF(ABS(K118)&lt;=L118/2,"PASS",IF(ABS(K118)&lt;=L118,"MARGINAL","FAIL")))</f>
        <v/>
      </c>
      <c r="N118" s="231"/>
      <c r="P118" s="96" t="s">
        <v>161</v>
      </c>
    </row>
    <row r="119" spans="2:16" hidden="1" x14ac:dyDescent="0.2">
      <c r="B119" s="264">
        <v>2.5</v>
      </c>
      <c r="C119" s="50" t="s">
        <v>178</v>
      </c>
      <c r="D119" s="202" t="str">
        <f>IF(H$12="","",VLOOKUP(H$12,Data!$AA$32:$AG$34,6,FALSE))</f>
        <v/>
      </c>
      <c r="E119" s="109"/>
      <c r="F119" s="109"/>
      <c r="G119" s="109"/>
      <c r="H119" s="44" t="str">
        <f>IF(OR(E119&lt;&gt;"",F119&lt;&gt;"",G119&lt;&gt;""),AVERAGE(E119:G119),"")</f>
        <v/>
      </c>
      <c r="I119" s="35" t="str">
        <f>IF(OR(H119="",D119="",$J$105="",$J$107=""),"",H119*D119*$J$105*$J$107)</f>
        <v/>
      </c>
      <c r="J119" s="35">
        <f>IF(C119="","",100)</f>
        <v>100</v>
      </c>
      <c r="K119" s="35" t="str">
        <f>IF(I119&lt;&gt;"",I119-J119,"")</f>
        <v/>
      </c>
      <c r="L119" s="35">
        <f>IF(C119="","",2)</f>
        <v>2</v>
      </c>
      <c r="M119" s="36" t="str">
        <f>IF(K119="","",IF(ABS(K119)&lt;=L119/2,"PASS",IF(ABS(K119)&lt;=L119,"MARGINAL","FAIL")))</f>
        <v/>
      </c>
      <c r="N119" s="231"/>
      <c r="P119" s="96" t="s">
        <v>162</v>
      </c>
    </row>
    <row r="120" spans="2:16" hidden="1" x14ac:dyDescent="0.2">
      <c r="B120" s="264">
        <v>2.5</v>
      </c>
      <c r="C120" s="50" t="s">
        <v>179</v>
      </c>
      <c r="D120" s="202" t="str">
        <f>IF(H$12="","",VLOOKUP(H$12,Data!$AA$32:$AG$34,7,FALSE))</f>
        <v/>
      </c>
      <c r="E120" s="109"/>
      <c r="F120" s="109"/>
      <c r="G120" s="109"/>
      <c r="H120" s="44" t="str">
        <f>IF(OR(E120&lt;&gt;"",F120&lt;&gt;"",G120&lt;&gt;""),AVERAGE(E120:G120),"")</f>
        <v/>
      </c>
      <c r="I120" s="35" t="str">
        <f>IF(OR(H120="",D120="",$J$105="",$J$107=""),"",H120*D120*$J$105*$J$107)</f>
        <v/>
      </c>
      <c r="J120" s="35">
        <f>IF(C120="","",100)</f>
        <v>100</v>
      </c>
      <c r="K120" s="35" t="str">
        <f>IF(I120&lt;&gt;"",I120-J120,"")</f>
        <v/>
      </c>
      <c r="L120" s="35">
        <f>IF(C120="","",2)</f>
        <v>2</v>
      </c>
      <c r="M120" s="36" t="str">
        <f>IF(K120="","",IF(ABS(K120)&lt;=L120/2,"PASS",IF(ABS(K120)&lt;=L120,"MARGINAL","FAIL")))</f>
        <v/>
      </c>
      <c r="N120" s="231"/>
      <c r="P120" s="96" t="s">
        <v>163</v>
      </c>
    </row>
    <row r="121" spans="2:16" hidden="1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05"/>
      <c r="L122" s="305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/>
      <c r="F131" s="59"/>
      <c r="G131" s="59"/>
      <c r="H131" s="59"/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/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/>
      <c r="F132" s="59"/>
      <c r="G132" s="59"/>
      <c r="H132" s="59"/>
      <c r="I132" s="35">
        <f t="shared" si="0"/>
        <v>2</v>
      </c>
      <c r="J132" s="36" t="str">
        <f t="shared" si="1"/>
        <v/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/>
      <c r="F133" s="59"/>
      <c r="G133" s="59"/>
      <c r="H133" s="59"/>
      <c r="I133" s="35">
        <f t="shared" si="0"/>
        <v>2</v>
      </c>
      <c r="J133" s="36" t="str">
        <f t="shared" si="1"/>
        <v/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/>
      <c r="F134" s="59"/>
      <c r="G134" s="59"/>
      <c r="H134" s="59"/>
      <c r="I134" s="35">
        <f t="shared" si="0"/>
        <v>2</v>
      </c>
      <c r="J134" s="36" t="str">
        <f t="shared" si="1"/>
        <v/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 t="str">
        <f>IF(OR(E131="",E132=""),"",E132-E131)</f>
        <v/>
      </c>
      <c r="F135" s="110" t="str">
        <f>IF(OR(F131="",F132=""),"",F132-F131)</f>
        <v/>
      </c>
      <c r="G135" s="110" t="str">
        <f>IF(OR(G131="",G132=""),"",G132-G131)</f>
        <v/>
      </c>
      <c r="H135" s="110" t="str">
        <f>IF(OR(H131="",H132=""),"",H132-H131)</f>
        <v/>
      </c>
      <c r="I135" s="35">
        <f t="shared" si="0"/>
        <v>2</v>
      </c>
      <c r="J135" s="36" t="str">
        <f t="shared" si="1"/>
        <v/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 t="str">
        <f>IF(OR(E131="",E133=""),"",E133-E131)</f>
        <v/>
      </c>
      <c r="F136" s="110" t="str">
        <f>IF(OR(F131="",F133=""),"",F133-F131)</f>
        <v/>
      </c>
      <c r="G136" s="110" t="str">
        <f>IF(OR(G131="",G133=""),"",G133-G131)</f>
        <v/>
      </c>
      <c r="H136" s="110" t="str">
        <f>IF(OR(H131="",H133=""),"",H133-H131)</f>
        <v/>
      </c>
      <c r="I136" s="35">
        <f t="shared" si="0"/>
        <v>2</v>
      </c>
      <c r="J136" s="36" t="str">
        <f t="shared" si="1"/>
        <v/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 t="str">
        <f>IF(OR(E131="",E134=""),"",E134-E131)</f>
        <v/>
      </c>
      <c r="F137" s="110" t="str">
        <f>IF(OR(F131="",F134=""),"",F134-F131)</f>
        <v/>
      </c>
      <c r="G137" s="110" t="str">
        <f>IF(OR(G131="",G134=""),"",G134-G131)</f>
        <v/>
      </c>
      <c r="H137" s="110" t="str">
        <f>IF(OR(H131="",H134=""),"",H134-H131)</f>
        <v/>
      </c>
      <c r="I137" s="35">
        <f t="shared" si="0"/>
        <v>2</v>
      </c>
      <c r="J137" s="36" t="str">
        <f t="shared" si="1"/>
        <v/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/>
      <c r="F145" s="59"/>
      <c r="G145" s="59"/>
      <c r="H145" s="59"/>
      <c r="I145" s="35">
        <v>1</v>
      </c>
      <c r="J145" s="36" t="str">
        <f>IF(OR(C145="",E145="",F145="",G145="",H145=""),"",IF(AND(ABS(E145)&lt;=I145,ABS(F145)&lt;=I145,ABS(G145)&lt;=I145,ABS(H145)&lt;=I145),"PASS","FAIL"))</f>
        <v/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/>
      <c r="F146" s="59"/>
      <c r="G146" s="59"/>
      <c r="H146" s="59"/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/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 t="str">
        <f>IF(OR(E145="",E146=""),"",E146-E145)</f>
        <v/>
      </c>
      <c r="F147" s="110" t="str">
        <f>IF(OR(F145="",F146=""),"",F146-F145)</f>
        <v/>
      </c>
      <c r="G147" s="110" t="str">
        <f>IF(OR(G145="",G146=""),"",G146-G145)</f>
        <v/>
      </c>
      <c r="H147" s="110" t="str">
        <f>IF(OR(H145="",H146=""),"",H146-H145)</f>
        <v/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/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/>
      <c r="E161" s="59"/>
      <c r="F161" s="59"/>
      <c r="G161" s="59"/>
      <c r="H161" s="59"/>
      <c r="I161" s="59"/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/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/>
      <c r="E170" s="112"/>
      <c r="F170" s="112"/>
      <c r="G170" s="112"/>
      <c r="H170" s="112"/>
      <c r="I170" s="112"/>
      <c r="J170" s="133"/>
      <c r="K170" s="105" t="str">
        <f t="array" ref="K170">IF(OR(D170:I170=""),"",IF(AND(ABS(D170)&lt;=D171,ABS(E170)&lt;=E171,ABS(F170)&lt;=F171,ABS(G170)&lt;=G171,ABS(H170)&lt;=H171,ABS(I170)&lt;=I171,J170="NO"),"PASS","FAIL"))</f>
        <v/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296"/>
      <c r="G173" s="297"/>
      <c r="H173" s="297"/>
      <c r="I173" s="297"/>
      <c r="J173" s="297"/>
      <c r="K173" s="297"/>
      <c r="L173" s="298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299"/>
      <c r="G174" s="300"/>
      <c r="H174" s="300"/>
      <c r="I174" s="300"/>
      <c r="J174" s="300"/>
      <c r="K174" s="300"/>
      <c r="L174" s="301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/>
      <c r="D186" s="34">
        <v>4</v>
      </c>
      <c r="E186" s="34">
        <v>0.1</v>
      </c>
      <c r="F186" s="67" t="str">
        <f>IF(C186="","",IF(ABS(C186-D186)&lt;=E186,"PASS","FAIL"))</f>
        <v/>
      </c>
      <c r="G186" s="59"/>
      <c r="H186" s="35">
        <v>10</v>
      </c>
      <c r="I186" s="67" t="str">
        <f>IF(G186="","",IF(ABS(G186)&lt;=H186,"PASS","FAIL"))</f>
        <v/>
      </c>
      <c r="J186" s="195"/>
      <c r="K186" s="41"/>
      <c r="L186" s="36" t="str">
        <f>IF(OR(F186="",I186="",J186=""),"",IF(AND(F186="PASS",I186="PASS",J186="PASS"),"PASS","FAIL"))</f>
        <v/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296"/>
      <c r="E188" s="297"/>
      <c r="F188" s="297"/>
      <c r="G188" s="297"/>
      <c r="H188" s="297"/>
      <c r="I188" s="297"/>
      <c r="J188" s="297"/>
      <c r="K188" s="297"/>
      <c r="L188" s="298"/>
      <c r="M188" s="7"/>
      <c r="N188" s="228"/>
    </row>
    <row r="189" spans="2:14" hidden="1" x14ac:dyDescent="0.2">
      <c r="B189" s="227"/>
      <c r="C189" s="7"/>
      <c r="D189" s="299"/>
      <c r="E189" s="300"/>
      <c r="F189" s="300"/>
      <c r="G189" s="300"/>
      <c r="H189" s="300"/>
      <c r="I189" s="300"/>
      <c r="J189" s="300"/>
      <c r="K189" s="300"/>
      <c r="L189" s="301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21"/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21"/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286"/>
      <c r="M213" s="287"/>
      <c r="N213" s="228"/>
    </row>
    <row r="214" spans="2:17" hidden="1" x14ac:dyDescent="0.2">
      <c r="B214" s="227"/>
      <c r="C214" s="32">
        <v>6</v>
      </c>
      <c r="D214" s="145"/>
      <c r="E214" s="44">
        <f>Data!AA52</f>
        <v>0.75</v>
      </c>
      <c r="F214" s="164"/>
      <c r="G214" s="44">
        <f>Data!AB52</f>
        <v>1</v>
      </c>
      <c r="H214" s="112"/>
      <c r="I214" s="35">
        <f>Data!AC52</f>
        <v>750</v>
      </c>
      <c r="J214" s="105" t="str">
        <f>IF(OR(D214="",F214="",H214=""),"",IF(AND(D214&gt;=0.8*E214,F214&gt;=0.8*G214,H214&gt;=0.8*I214),"PASS","FAIL"))</f>
        <v/>
      </c>
      <c r="K214" s="7"/>
      <c r="L214" s="286"/>
      <c r="M214" s="287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/>
      <c r="F223" s="112"/>
      <c r="G223" s="112"/>
      <c r="H223" s="112"/>
      <c r="I223" s="112"/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/>
      <c r="F224" s="112"/>
      <c r="G224" s="112"/>
      <c r="H224" s="112"/>
      <c r="I224" s="112"/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/>
      <c r="F225" s="112"/>
      <c r="G225" s="112"/>
      <c r="H225" s="112"/>
      <c r="I225" s="112"/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/>
      <c r="F226" s="112"/>
      <c r="G226" s="112"/>
      <c r="H226" s="112"/>
      <c r="I226" s="112"/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/>
      </c>
      <c r="F227" s="131" t="str">
        <f t="array" ref="F227">IF(OR(F223:F226=""),"",IF(AND(F226="Pass",ABS(F225-$J$225)&lt;=$K$225,ABS(F223)&lt;=$K$223,ABS(F224)&lt;=$K$224),"PASS","FAIL"))</f>
        <v/>
      </c>
      <c r="G227" s="131" t="str">
        <f t="array" ref="G227">IF(OR(G223:G226=""),"",IF(AND(G226="Pass",ABS(G225-$J$225)&lt;=$K$225,ABS(G223)&lt;=$K$223,ABS(G224)&lt;=$K$224),"PASS","FAIL"))</f>
        <v/>
      </c>
      <c r="H227" s="131" t="str">
        <f t="array" ref="H227">IF(OR(H223:H226=""),"",IF(AND(H226="Pass",ABS(H225-$J$225)&lt;=$K$225,ABS(H223)&lt;=$K$223,ABS(H224)&lt;=$K$224),"PASS","FAIL"))</f>
        <v/>
      </c>
      <c r="I227" s="131" t="str">
        <f t="array" ref="I227">IF(OR(I223:I226=""),"",IF(AND(I226="Pass",ABS(I225-$J$225)&lt;=$K$225,ABS(I223)&lt;=$K$223,ABS(I224)&lt;=$K$224),"PASS","FAIL"))</f>
        <v/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/>
      <c r="F230" s="175">
        <v>4.5</v>
      </c>
      <c r="G230" s="174" t="str">
        <f>IF(E230="","",IF(ABS(E230)&lt;=F230,"PASS","FAIL"))</f>
        <v/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/>
      <c r="F231" s="175">
        <v>4.5</v>
      </c>
      <c r="G231" s="174" t="str">
        <f>IF(E231="","",IF(ABS(E231)&lt;=F231,"PASS","FAIL"))</f>
        <v/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/>
      <c r="F232" s="175">
        <v>4.5</v>
      </c>
      <c r="G232" s="174" t="str">
        <f>IF(E232="","",IF(ABS(E232)&lt;=F232,"PASS","FAIL"))</f>
        <v/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/>
      <c r="F235" s="112"/>
      <c r="G235" s="175">
        <v>18</v>
      </c>
      <c r="H235" s="152">
        <v>2</v>
      </c>
      <c r="I235" s="174" t="str">
        <f>IF(OR(E235="",F235=""),"",IF(OR(ABS(E235-G235)&gt;H235,ABS(F235-G235)&gt;H235),"FAIL","PASS"))</f>
        <v/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296"/>
      <c r="E237" s="297"/>
      <c r="F237" s="297"/>
      <c r="G237" s="297"/>
      <c r="H237" s="297"/>
      <c r="I237" s="297"/>
      <c r="J237" s="297"/>
      <c r="K237" s="297"/>
      <c r="L237" s="298"/>
      <c r="M237" s="80"/>
      <c r="N237" s="228"/>
      <c r="O237" s="4"/>
    </row>
    <row r="238" spans="2:15" hidden="1" x14ac:dyDescent="0.2">
      <c r="B238" s="230"/>
      <c r="C238" s="118"/>
      <c r="D238" s="299"/>
      <c r="E238" s="300"/>
      <c r="F238" s="300"/>
      <c r="G238" s="300"/>
      <c r="H238" s="300"/>
      <c r="I238" s="300"/>
      <c r="J238" s="300"/>
      <c r="K238" s="300"/>
      <c r="L238" s="301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05"/>
      <c r="L240" s="305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/>
      <c r="G251" s="84" t="str">
        <f>IF(F251&lt;&gt;"",F251-F252,"")</f>
        <v/>
      </c>
      <c r="H251" s="33"/>
      <c r="I251" s="84" t="str">
        <f>IF(H251&lt;&gt;"",H251-H252,"")</f>
        <v/>
      </c>
      <c r="J251" s="33"/>
      <c r="K251" s="84" t="str">
        <f>IF(J251&lt;&gt;"",J251-J252,"")</f>
        <v/>
      </c>
      <c r="L251" s="84">
        <v>0.2</v>
      </c>
      <c r="M251" s="105" t="str">
        <f>IF(OR(G251="",I251="",K251=""),"",IF(MAX(ABS(G251),ABS(I251),ABS(K251))&lt;=L251,"PASS","FAIL"))</f>
        <v/>
      </c>
      <c r="N251" s="236"/>
      <c r="O251" s="4"/>
    </row>
    <row r="252" spans="2:15" hidden="1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/>
      <c r="G255" s="33"/>
      <c r="H255" s="33"/>
      <c r="I255" s="84">
        <v>0.2</v>
      </c>
      <c r="J255" s="105" t="str">
        <f>IF(OR(F255="",G255="",H255=""),"",IF(MAX(ABS(F255),ABS(G255),ABS(H255))&lt;=I255,"PASS","FAIL"))</f>
        <v/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/>
      <c r="G259" s="33"/>
      <c r="H259" s="33"/>
      <c r="I259" s="84">
        <v>0.2</v>
      </c>
      <c r="J259" s="105" t="str">
        <f>IF(OR(F259="",G259="",H259=""),"",IF(MAX(ABS(F259),ABS(G259),ABS(H259))&lt;=I259,"PASS","FAIL"))</f>
        <v/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/>
      <c r="G263" s="33"/>
      <c r="H263" s="33"/>
      <c r="I263" s="84">
        <v>0.2</v>
      </c>
      <c r="J263" s="105" t="str">
        <f>IF(OR(F263="",G263="",H263=""),"",IF(MAX(ABS(F263),ABS(G263),ABS(H263))&lt;=I263,"PASS","FAIL"))</f>
        <v/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33"/>
      <c r="G267" s="33"/>
      <c r="H267" s="119" t="s">
        <v>166</v>
      </c>
      <c r="I267" s="84">
        <v>0.2</v>
      </c>
      <c r="J267" s="105" t="str">
        <f>IF(OR(F267="",G267=""),"",IF(MAX(ABS(F267),ABS(G267))&lt;=I267,"PASS","FAIL"))</f>
        <v/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/>
      <c r="H271" s="33"/>
      <c r="I271" s="84">
        <v>0.2</v>
      </c>
      <c r="J271" s="105" t="str">
        <f>IF(OR(G271="",H271=""),"",IF(MAX(ABS(G271),ABS(H271))&lt;=I271,"PASS","FAIL"))</f>
        <v/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05"/>
      <c r="L273" s="305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/>
      <c r="F282" s="50">
        <v>1.6</v>
      </c>
      <c r="G282" s="50">
        <v>0.2</v>
      </c>
      <c r="H282" s="105" t="str">
        <f>IF(E282="","",IF(ABS(E282-F282)&lt;=G282,"PASS","FAIL"))</f>
        <v/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/>
      <c r="F283" s="50">
        <v>0.8</v>
      </c>
      <c r="G283" s="50">
        <v>0.2</v>
      </c>
      <c r="H283" s="105" t="str">
        <f>IF(E283="","",IF(ABS(E283-F283)&lt;=G283,"PASS","FAIL"))</f>
        <v/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/>
      <c r="F284" s="50">
        <v>5.0999999999999996</v>
      </c>
      <c r="G284" s="50">
        <v>0.2</v>
      </c>
      <c r="H284" s="105" t="str">
        <f>IF(E284="","",IF(ABS(E284-F284)&lt;=G284,"PASS","FAIL"))</f>
        <v/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/>
      <c r="F285" s="50">
        <v>0.17</v>
      </c>
      <c r="G285" s="50">
        <v>0.02</v>
      </c>
      <c r="H285" s="105" t="str">
        <f>IF(E285="","",IF(ABS(E285-F285)&lt;=G285,"PASS","FAIL"))</f>
        <v/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33"/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/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2"/>
      <c r="F290" s="309"/>
      <c r="G290" s="309"/>
      <c r="H290" s="309"/>
      <c r="I290" s="309"/>
      <c r="J290" s="309"/>
      <c r="K290" s="309"/>
      <c r="L290" s="309"/>
      <c r="M290" s="310"/>
      <c r="N290" s="247"/>
      <c r="O290" s="4"/>
    </row>
    <row r="291" spans="2:16" hidden="1" x14ac:dyDescent="0.2">
      <c r="B291" s="227"/>
      <c r="C291" s="79"/>
      <c r="D291" s="79"/>
      <c r="E291" s="302"/>
      <c r="F291" s="303"/>
      <c r="G291" s="303"/>
      <c r="H291" s="303"/>
      <c r="I291" s="303"/>
      <c r="J291" s="303"/>
      <c r="K291" s="303"/>
      <c r="L291" s="303"/>
      <c r="M291" s="304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05"/>
      <c r="L293" s="305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/>
      <c r="E305" s="59"/>
      <c r="F305" s="59"/>
      <c r="G305" s="59"/>
      <c r="H305" s="33"/>
      <c r="I305" s="21"/>
      <c r="J305" s="105" t="str">
        <f t="array" ref="J305">IF(OR(D305:I305=""),"",IF(AND(ABS(D305-D306)&lt;=0.2,ABS(E305-E306)&lt;=0.2,ABS(F305-F306)&lt;=0.2,ABS(G305-G306)&lt;=0.2,H305="PASS",I305="No"),"PASS","FAIL"))</f>
        <v/>
      </c>
      <c r="K305" s="107"/>
      <c r="L305" s="286"/>
      <c r="M305" s="287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06"/>
      <c r="G308" s="307"/>
      <c r="H308" s="307"/>
      <c r="I308" s="307"/>
      <c r="J308" s="307"/>
      <c r="K308" s="307"/>
      <c r="L308" s="308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290"/>
      <c r="G309" s="291"/>
      <c r="H309" s="291"/>
      <c r="I309" s="291"/>
      <c r="J309" s="291"/>
      <c r="K309" s="291"/>
      <c r="L309" s="292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/>
      <c r="F319" s="59"/>
      <c r="G319" s="59"/>
      <c r="H319" s="59"/>
      <c r="I319" s="35">
        <v>5</v>
      </c>
      <c r="J319" s="36" t="str">
        <f>IF(OR(C319="",E319="",F319="",G319="",H319=""),"",IF(AND(ABS(E319)&lt;=I319,ABS(F319)&lt;=I319,ABS(G319)&lt;=I319,ABS(H319)&lt;=I319),"PASS","FAIL"))</f>
        <v/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286"/>
      <c r="M323" s="287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286"/>
      <c r="M324" s="287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/>
      <c r="G328" s="165">
        <f>Data!AA53</f>
        <v>1.8</v>
      </c>
      <c r="H328" s="164"/>
      <c r="I328" s="165">
        <f>Data!AB53</f>
        <v>2.6</v>
      </c>
      <c r="J328" s="112"/>
      <c r="K328" s="127">
        <f>Data!AC53</f>
        <v>20</v>
      </c>
      <c r="L328" s="132" t="str">
        <f>IF(OR(F328="",H328="",J328=""),"",IF(AND(F328&gt;=0.8*G328,H328&gt;=0.8*I328,J328&gt;=0.8*K328),"PASS","FAIL"))</f>
        <v/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/>
      <c r="G329" s="165">
        <v>1.8</v>
      </c>
      <c r="H329" s="164"/>
      <c r="I329" s="165">
        <v>2.7</v>
      </c>
      <c r="J329" s="112"/>
      <c r="K329" s="127">
        <v>13</v>
      </c>
      <c r="L329" s="132" t="str">
        <f>IF(OR(F329="",H329="",J329=""),"",IF(AND(F329&gt;=0.8*G329,H329&gt;=0.8*I329,J329&gt;=0.8*K329),"PASS","FAIL"))</f>
        <v/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/>
      <c r="E337" s="127">
        <v>75</v>
      </c>
      <c r="F337" s="127">
        <v>5</v>
      </c>
      <c r="G337" s="112"/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/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/>
      <c r="E338" s="127">
        <v>125</v>
      </c>
      <c r="F338" s="127">
        <v>5</v>
      </c>
      <c r="G338" s="112"/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/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05"/>
      <c r="L340" s="305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21"/>
      <c r="H351" s="130"/>
      <c r="I351" s="293"/>
      <c r="J351" s="294"/>
      <c r="K351" s="294"/>
      <c r="L351" s="294"/>
      <c r="M351" s="295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/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/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/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/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/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/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/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/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/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/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/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/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/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/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/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/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/>
      <c r="F372" s="153"/>
      <c r="G372" s="152" t="str">
        <f>IF(OR(E372="",F372=""),"",F372-E372)</f>
        <v/>
      </c>
      <c r="H372" s="152">
        <v>10</v>
      </c>
      <c r="I372" s="123"/>
      <c r="J372" s="79"/>
      <c r="K372" s="79"/>
      <c r="L372" s="105" t="str">
        <f>IF(G372="","",IF(ABS(G372)&lt;=H372,"PASS","FAIL"))</f>
        <v/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/>
      <c r="F373" s="153"/>
      <c r="G373" s="152" t="str">
        <f>IF(OR(E373="",F373=""),"",F373-E373)</f>
        <v/>
      </c>
      <c r="H373" s="152">
        <v>10</v>
      </c>
      <c r="I373" s="123"/>
      <c r="J373" s="79"/>
      <c r="K373" s="79"/>
      <c r="L373" s="105" t="str">
        <f>IF(G373="","",IF(ABS(G373)&lt;=H373,"PASS","FAIL"))</f>
        <v/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 t="str">
        <f>IF(OR(E361="",E363=""),"",E361-E363)</f>
        <v/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/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 t="str">
        <f>IF(OR(E373="",F373=""),"",AVERAGE(E373:F374))</f>
        <v/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/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 t="str">
        <f>IF(OR(E377="",E378=""),"",E377/E378)</f>
        <v/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/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288" t="s">
        <v>299</v>
      </c>
      <c r="G381" s="289"/>
      <c r="H381" s="289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289"/>
      <c r="G382" s="289"/>
      <c r="H382" s="289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39" priority="209" stopIfTrue="1" operator="equal">
      <formula>""</formula>
    </cfRule>
  </conditionalFormatting>
  <conditionalFormatting sqref="H12:J12">
    <cfRule type="cellIs" dxfId="38" priority="210" stopIfTrue="1" operator="equal">
      <formula>$Q$6</formula>
    </cfRule>
  </conditionalFormatting>
  <conditionalFormatting sqref="M21">
    <cfRule type="cellIs" dxfId="37" priority="208" stopIfTrue="1" operator="equal">
      <formula>$Q$6</formula>
    </cfRule>
  </conditionalFormatting>
  <conditionalFormatting sqref="F308:F309 F173:L174">
    <cfRule type="cellIs" dxfId="36" priority="198" stopIfTrue="1" operator="equal">
      <formula>$Q$6</formula>
    </cfRule>
  </conditionalFormatting>
  <conditionalFormatting sqref="D237:L238 D188:L189">
    <cfRule type="cellIs" dxfId="35" priority="197" stopIfTrue="1" operator="equal">
      <formula>$Q$6</formula>
    </cfRule>
  </conditionalFormatting>
  <conditionalFormatting sqref="E227:I227 J305:K305 N305">
    <cfRule type="cellIs" dxfId="34" priority="90" stopIfTrue="1" operator="equal">
      <formula>$Q$8</formula>
    </cfRule>
  </conditionalFormatting>
  <conditionalFormatting sqref="I351:M351">
    <cfRule type="cellIs" dxfId="33" priority="80" stopIfTrue="1" operator="equal">
      <formula>$Q$6</formula>
    </cfRule>
  </conditionalFormatting>
  <conditionalFormatting sqref="J214">
    <cfRule type="cellIs" dxfId="32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31" priority="67" stopIfTrue="1" operator="equal">
      <formula>"FAIL"</formula>
    </cfRule>
  </conditionalFormatting>
  <conditionalFormatting sqref="H27:H31">
    <cfRule type="cellIs" dxfId="30" priority="40" stopIfTrue="1" operator="equal">
      <formula>"NOT REVIEWED"</formula>
    </cfRule>
  </conditionalFormatting>
  <conditionalFormatting sqref="M47:N50 M62:N66 M72:N72 M85:N88 L98:L100 L55:L57 M116:N120">
    <cfRule type="cellIs" dxfId="29" priority="38" stopIfTrue="1" operator="equal">
      <formula>"MARGINAL"</formula>
    </cfRule>
  </conditionalFormatting>
  <conditionalFormatting sqref="K170">
    <cfRule type="cellIs" dxfId="28" priority="29" stopIfTrue="1" operator="equal">
      <formula>"FAIL"</formula>
    </cfRule>
  </conditionalFormatting>
  <conditionalFormatting sqref="J131:J137 J145:J147 L161 L186 F186 I186:J186 D198 D206 J214 E227:I227 G230:G235">
    <cfRule type="cellIs" dxfId="27" priority="28" stopIfTrue="1" operator="equal">
      <formula>"FAIL"</formula>
    </cfRule>
  </conditionalFormatting>
  <conditionalFormatting sqref="E226:I226">
    <cfRule type="cellIs" dxfId="26" priority="27" stopIfTrue="1" operator="equal">
      <formula>"FAIL"</formula>
    </cfRule>
  </conditionalFormatting>
  <conditionalFormatting sqref="K101 E101 G101 I101">
    <cfRule type="cellIs" dxfId="25" priority="26" stopIfTrue="1" operator="equal">
      <formula>""</formula>
    </cfRule>
  </conditionalFormatting>
  <conditionalFormatting sqref="L101">
    <cfRule type="cellIs" dxfId="24" priority="23" stopIfTrue="1" operator="equal">
      <formula>"FAIL"</formula>
    </cfRule>
  </conditionalFormatting>
  <conditionalFormatting sqref="L101">
    <cfRule type="cellIs" dxfId="23" priority="22" stopIfTrue="1" operator="equal">
      <formula>"MARGINAL"</formula>
    </cfRule>
  </conditionalFormatting>
  <conditionalFormatting sqref="L213:M214">
    <cfRule type="cellIs" dxfId="22" priority="21" stopIfTrue="1" operator="equal">
      <formula>$Q$6</formula>
    </cfRule>
  </conditionalFormatting>
  <conditionalFormatting sqref="L323:M324">
    <cfRule type="cellIs" dxfId="21" priority="20" stopIfTrue="1" operator="equal">
      <formula>$Q$6</formula>
    </cfRule>
  </conditionalFormatting>
  <conditionalFormatting sqref="K24:L24">
    <cfRule type="cellIs" dxfId="20" priority="19" stopIfTrue="1" operator="notEqual">
      <formula>""</formula>
    </cfRule>
  </conditionalFormatting>
  <conditionalFormatting sqref="K33:L33">
    <cfRule type="cellIs" dxfId="19" priority="18" stopIfTrue="1" operator="notEqual">
      <formula>""</formula>
    </cfRule>
  </conditionalFormatting>
  <conditionalFormatting sqref="K103:L103">
    <cfRule type="cellIs" dxfId="18" priority="17" stopIfTrue="1" operator="notEqual">
      <formula>""</formula>
    </cfRule>
  </conditionalFormatting>
  <conditionalFormatting sqref="K122:L122">
    <cfRule type="cellIs" dxfId="17" priority="16" stopIfTrue="1" operator="notEqual">
      <formula>""</formula>
    </cfRule>
  </conditionalFormatting>
  <conditionalFormatting sqref="K240:L240">
    <cfRule type="cellIs" dxfId="16" priority="15" stopIfTrue="1" operator="notEqual">
      <formula>""</formula>
    </cfRule>
  </conditionalFormatting>
  <conditionalFormatting sqref="K273:L273">
    <cfRule type="cellIs" dxfId="15" priority="14" stopIfTrue="1" operator="notEqual">
      <formula>""</formula>
    </cfRule>
  </conditionalFormatting>
  <conditionalFormatting sqref="K293:L293">
    <cfRule type="cellIs" dxfId="14" priority="13" stopIfTrue="1" operator="notEqual">
      <formula>""</formula>
    </cfRule>
  </conditionalFormatting>
  <conditionalFormatting sqref="K340:L340">
    <cfRule type="cellIs" dxfId="13" priority="12" stopIfTrue="1" operator="notEqual">
      <formula>""</formula>
    </cfRule>
  </conditionalFormatting>
  <conditionalFormatting sqref="F15 M15 H27:H31">
    <cfRule type="cellIs" dxfId="12" priority="11" stopIfTrue="1" operator="equal">
      <formula>""</formula>
    </cfRule>
  </conditionalFormatting>
  <conditionalFormatting sqref="G98:G100">
    <cfRule type="cellIs" dxfId="11" priority="10" stopIfTrue="1" operator="equal">
      <formula>""</formula>
    </cfRule>
  </conditionalFormatting>
  <conditionalFormatting sqref="G351 D206 J186 D198">
    <cfRule type="cellIs" dxfId="10" priority="215" stopIfTrue="1" operator="equal">
      <formula>$Q$6</formula>
    </cfRule>
    <cfRule type="cellIs" dxfId="9" priority="216" stopIfTrue="1" operator="equal">
      <formula>$Q$8</formula>
    </cfRule>
  </conditionalFormatting>
  <conditionalFormatting sqref="E235:F235">
    <cfRule type="cellIs" dxfId="8" priority="9" stopIfTrue="1" operator="equal">
      <formula>""</formula>
    </cfRule>
  </conditionalFormatting>
  <conditionalFormatting sqref="I235">
    <cfRule type="cellIs" dxfId="7" priority="8" stopIfTrue="1" operator="equal">
      <formula>"FAIL"</formula>
    </cfRule>
  </conditionalFormatting>
  <conditionalFormatting sqref="I235">
    <cfRule type="cellIs" dxfId="6" priority="7" stopIfTrue="1" operator="equal">
      <formula>"FAIL"</formula>
    </cfRule>
  </conditionalFormatting>
  <conditionalFormatting sqref="L305:M305">
    <cfRule type="cellIs" dxfId="5" priority="6" stopIfTrue="1" operator="equal">
      <formula>$Q$6</formula>
    </cfRule>
  </conditionalFormatting>
  <conditionalFormatting sqref="J15">
    <cfRule type="cellIs" dxfId="4" priority="4" stopIfTrue="1" operator="equal">
      <formula>$Q$8</formula>
    </cfRule>
    <cfRule type="cellIs" dxfId="3" priority="5" stopIfTrue="1" operator="equal">
      <formula>$Q$6</formula>
    </cfRule>
  </conditionalFormatting>
  <conditionalFormatting sqref="J15">
    <cfRule type="cellIs" dxfId="2" priority="3" stopIfTrue="1" operator="equal">
      <formula>""</formula>
    </cfRule>
  </conditionalFormatting>
  <conditionalFormatting sqref="F15:G15">
    <cfRule type="cellIs" dxfId="1" priority="1" stopIfTrue="1" operator="equal">
      <formula>"CONDITIONAL PASS"</formula>
    </cfRule>
    <cfRule type="cellIs" dxfId="0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4894" r:id="rId5" name="lbl_CBCT">
          <controlPr defaultSize="0" autoFill="0" autoLine="0" r:id="rId6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5" name="lbl_CBCT"/>
      </mc:Fallback>
    </mc:AlternateContent>
    <mc:AlternateContent xmlns:mc="http://schemas.openxmlformats.org/markup-compatibility/2006">
      <mc:Choice Requires="x14">
        <control shapeId="14893" r:id="rId7" name="lbl_KV_Planar">
          <controlPr defaultSize="0" autoFill="0" autoLine="0" r:id="rId6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7" name="lbl_KV_Planar"/>
      </mc:Fallback>
    </mc:AlternateContent>
    <mc:AlternateContent xmlns:mc="http://schemas.openxmlformats.org/markup-compatibility/2006">
      <mc:Choice Requires="x14">
        <control shapeId="14832" r:id="rId8" name="lbl_Motion_Management">
          <controlPr defaultSize="0" autoFill="0" autoLine="0" r:id="rId6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8" name="lbl_Motion_Management"/>
      </mc:Fallback>
    </mc:AlternateContent>
    <mc:AlternateContent xmlns:mc="http://schemas.openxmlformats.org/markup-compatibility/2006">
      <mc:Choice Requires="x14">
        <control shapeId="14811" r:id="rId9" name="lbl_Registration">
          <controlPr defaultSize="0" autoFill="0" autoLine="0" r:id="rId6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9" name="lbl_Registration"/>
      </mc:Fallback>
    </mc:AlternateContent>
    <mc:AlternateContent xmlns:mc="http://schemas.openxmlformats.org/markup-compatibility/2006">
      <mc:Choice Requires="x14">
        <control shapeId="14738" r:id="rId10" name="lbl_MVD_Measurements">
          <controlPr defaultSize="0" autoFill="0" autoLine="0" r:id="rId6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0" name="lbl_MVD_Measurements"/>
      </mc:Fallback>
    </mc:AlternateContent>
    <mc:AlternateContent xmlns:mc="http://schemas.openxmlformats.org/markup-compatibility/2006">
      <mc:Choice Requires="x14">
        <control shapeId="14736" r:id="rId11" name="lbl_Electron_Outputs">
          <controlPr defaultSize="0" autoFill="0" autoLine="0" r:id="rId6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1" name="lbl_Electron_Outputs"/>
      </mc:Fallback>
    </mc:AlternateContent>
    <mc:AlternateContent xmlns:mc="http://schemas.openxmlformats.org/markup-compatibility/2006">
      <mc:Choice Requires="x14">
        <control shapeId="14709" r:id="rId12" name="lbl_Xray_Outputs">
          <controlPr defaultSize="0" autoFill="0" autoLine="0" r:id="rId13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2" name="lbl_Xray_Outputs"/>
      </mc:Fallback>
    </mc:AlternateContent>
    <mc:AlternateContent xmlns:mc="http://schemas.openxmlformats.org/markup-compatibility/2006">
      <mc:Choice Requires="x14">
        <control shapeId="14602" r:id="rId14" name="lbl_Audit">
          <controlPr defaultSize="0" autoFill="0" autoLine="0" r:id="rId6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4" name="lbl_Audit"/>
      </mc:Fallback>
    </mc:AlternateContent>
    <mc:AlternateContent xmlns:mc="http://schemas.openxmlformats.org/markup-compatibility/2006">
      <mc:Choice Requires="x14">
        <control shapeId="1187" r:id="rId15" name="cmdSave">
          <controlPr locked="0" defaultSize="0" autoLine="0" r:id="rId16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5" name="cmdSave"/>
      </mc:Fallback>
    </mc:AlternateContent>
    <mc:AlternateContent xmlns:mc="http://schemas.openxmlformats.org/markup-compatibility/2006">
      <mc:Choice Requires="x14">
        <control shapeId="1148" r:id="rId17" name="cmdOPTrend">
          <controlPr locked="0" defaultSize="0" autoLine="0" r:id="rId18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17" name="cmdOPTrend"/>
      </mc:Fallback>
    </mc:AlternateContent>
    <mc:AlternateContent xmlns:mc="http://schemas.openxmlformats.org/markup-compatibility/2006">
      <mc:Choice Requires="x14">
        <control shapeId="1144" r:id="rId19" name="cmdPrint">
          <controlPr locked="0" defaultSize="0" autoLine="0" r:id="rId20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19" name="cmdPrint"/>
      </mc:Fallback>
    </mc:AlternateContent>
    <mc:AlternateContent xmlns:mc="http://schemas.openxmlformats.org/markup-compatibility/2006">
      <mc:Choice Requires="x14">
        <control shapeId="1136" r:id="rId21" name="cmdClear">
          <controlPr locked="0" defaultSize="0" autoLine="0" r:id="rId22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21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topLeftCell="A7" zoomScale="115" zoomScaleNormal="115" workbookViewId="0">
      <pane xSplit="32505" topLeftCell="Y1"/>
      <selection activeCell="C17" sqref="C17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0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H:\Physics\Vicc\QA\Reports\0\Physicist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Main</vt:lpstr>
      <vt:lpstr>Data</vt:lpstr>
      <vt:lpstr>Info</vt:lpstr>
      <vt:lpstr>QATrack</vt:lpstr>
      <vt:lpstr>List_Electrometers</vt:lpstr>
      <vt:lpstr>List_Farmer_Probes</vt:lpstr>
      <vt:lpstr>List_Machine</vt:lpstr>
      <vt:lpstr>List_Markus_Probes</vt:lpstr>
      <vt:lpstr>List_Month</vt:lpstr>
      <vt:lpstr>List_Personnel</vt:lpstr>
      <vt:lpstr>List_Status1</vt:lpstr>
      <vt:lpstr>List_Status2</vt:lpstr>
      <vt:lpstr>List_Status3</vt:lpstr>
      <vt:lpstr>List_Status4</vt:lpstr>
      <vt:lpstr>List_Student</vt:lpstr>
      <vt:lpstr>List_Year</vt:lpstr>
      <vt:lpstr>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2023-07-31T21:28:33Z</dcterms:modified>
</cp:coreProperties>
</file>