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le.bromma1\Documents\code\pymedphys\src\QAtrack\data\"/>
    </mc:Choice>
  </mc:AlternateContent>
  <bookViews>
    <workbookView xWindow="32760" yWindow="32760" windowWidth="28800" windowHeight="12225" activeTab="5"/>
  </bookViews>
  <sheets>
    <sheet name="Main" sheetId="1" r:id="rId1"/>
    <sheet name="Data" sheetId="3" r:id="rId2"/>
    <sheet name="Info" sheetId="2" r:id="rId3"/>
    <sheet name="QATrack_Main" sheetId="4" r:id="rId4"/>
    <sheet name="QATrack_Data" sheetId="6" r:id="rId5"/>
    <sheet name="QATrack_Definitions" sheetId="7" r:id="rId6"/>
  </sheets>
  <externalReferences>
    <externalReference r:id="rId7"/>
  </externalReferences>
  <definedNames>
    <definedName name="List_Electrometers" localSheetId="4">QATrack_Data!$M$31:$M$35</definedName>
    <definedName name="List_Electrometers" localSheetId="5">QATrack_Definitions!$L$31:$L$35</definedName>
    <definedName name="List_Electrometers">Data!$M$31:$M$35</definedName>
    <definedName name="List_Farmer_Probes" localSheetId="4">QATrack_Data!$A$31:$A$36</definedName>
    <definedName name="List_Farmer_Probes" localSheetId="5">QATrack_Definitions!$A$31:$A$36</definedName>
    <definedName name="List_Farmer_Probes">Data!$A$31:$A$36</definedName>
    <definedName name="List_Machine" localSheetId="4">QATrack_Data!$A$21:$A$26</definedName>
    <definedName name="List_Machine" localSheetId="5">QATrack_Definitions!$A$21:$A$26</definedName>
    <definedName name="List_Machine">Data!$A$21:$A$26</definedName>
    <definedName name="List_Markus_Probes" localSheetId="4">QATrack_Data!$G$31:$G$34</definedName>
    <definedName name="List_Markus_Probes" localSheetId="5">QATrack_Definitions!$G$31:$G$34</definedName>
    <definedName name="List_Markus_Probes">Data!$G$31:$G$34</definedName>
    <definedName name="List_Month" localSheetId="4">QATrack_Data!$C$2:$C$13</definedName>
    <definedName name="List_Month" localSheetId="5">QATrack_Definitions!$C$2:$C$13</definedName>
    <definedName name="List_Month">Data!$C$2:$C$13</definedName>
    <definedName name="List_Personnel" localSheetId="4">QATrack_Data!$A$2:$A$14</definedName>
    <definedName name="List_Personnel" localSheetId="5">QATrack_Definitions!$A$2:$A$14</definedName>
    <definedName name="List_Personnel">Data!$A$2:$A$14</definedName>
    <definedName name="List_Status1" localSheetId="4">QATrack_Data!$M$2:$M$4</definedName>
    <definedName name="List_Status1" localSheetId="5">QATrack_Definitions!$L$2:$L$4</definedName>
    <definedName name="List_Status1">Data!$M$2:$M$4</definedName>
    <definedName name="List_Status2" localSheetId="4">QATrack_Data!$O$2:$O$3</definedName>
    <definedName name="List_Status2" localSheetId="5">QATrack_Definitions!$N$2:$N$3</definedName>
    <definedName name="List_Status2">Data!$O$2:$O$3</definedName>
    <definedName name="List_Status3" localSheetId="4">QATrack_Data!$Q$2:$Q$3</definedName>
    <definedName name="List_Status3" localSheetId="5">QATrack_Definitions!$P$2:$P$3</definedName>
    <definedName name="List_Status3">Data!$Q$2:$Q$3</definedName>
    <definedName name="List_Status4" localSheetId="4">QATrack_Data!$S$2:$S$3</definedName>
    <definedName name="List_Status4" localSheetId="5">QATrack_Definitions!$R$2:$R$3</definedName>
    <definedName name="List_Status4">Data!$S$2:$S$3</definedName>
    <definedName name="List_Student" localSheetId="4">QATrack_Data!$U$2:$U$7</definedName>
    <definedName name="List_Student" localSheetId="5">QATrack_Definitions!$T$2:$T$7</definedName>
    <definedName name="List_Student">Data!$U$2:$U$7</definedName>
    <definedName name="List_Year" localSheetId="4">QATrack_Data!$D$2:$D$13</definedName>
    <definedName name="List_Year" localSheetId="5">QATrack_Definitions!$D$2:$D$13</definedName>
    <definedName name="List_Year">Data!$D$2:$D$13</definedName>
    <definedName name="_xlnm.Print_Area" localSheetId="0">Main!$B$10:$M$381</definedName>
    <definedName name="_xlnm.Print_Area" localSheetId="3">QATrack_Main!$B$10:$M$381</definedName>
    <definedName name="Z_FA2D1B4E_F89E_4C35_9D43_0653EC39ACA4_.wvu.PrintArea" localSheetId="0" hidden="1">Main!$B$10:$M$381</definedName>
    <definedName name="Z_FA2D1B4E_F89E_4C35_9D43_0653EC39ACA4_.wvu.PrintArea" localSheetId="3" hidden="1">QATrack_Main!$B$10:$M$381</definedName>
  </definedNames>
  <calcPr calcId="162913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G372" i="1" l="1"/>
  <c r="G373" i="1"/>
  <c r="I227" i="4"/>
  <c r="F69" i="1" l="1"/>
  <c r="F74" i="1"/>
  <c r="F59" i="1"/>
  <c r="G149" i="1"/>
  <c r="G124" i="1"/>
  <c r="L161" i="4" l="1"/>
  <c r="E379" i="1"/>
  <c r="E378" i="1"/>
  <c r="E377" i="1"/>
  <c r="K170" i="4" l="1"/>
  <c r="J145" i="4"/>
  <c r="H50" i="4" l="1"/>
  <c r="H49" i="4"/>
  <c r="H48" i="4"/>
  <c r="H47" i="4"/>
  <c r="D55" i="4" s="1"/>
  <c r="D47" i="1" l="1"/>
  <c r="H65" i="6" l="1"/>
  <c r="H64" i="6"/>
  <c r="H63" i="6"/>
  <c r="H62" i="6"/>
  <c r="E36" i="6"/>
  <c r="E35" i="6"/>
  <c r="K34" i="6"/>
  <c r="E34" i="6"/>
  <c r="K33" i="6"/>
  <c r="E33" i="6"/>
  <c r="K32" i="6"/>
  <c r="E32" i="6"/>
  <c r="K31" i="6"/>
  <c r="E31" i="6"/>
  <c r="L2" i="6"/>
  <c r="E9" i="6" s="1"/>
  <c r="F74" i="4"/>
  <c r="F69" i="4"/>
  <c r="F59" i="4"/>
  <c r="G57" i="4"/>
  <c r="G56" i="4"/>
  <c r="G55" i="4"/>
  <c r="L378" i="4"/>
  <c r="L373" i="4"/>
  <c r="L372" i="4"/>
  <c r="L368" i="4"/>
  <c r="F368" i="4"/>
  <c r="L364" i="4"/>
  <c r="L363" i="4"/>
  <c r="L362" i="4"/>
  <c r="L361" i="4"/>
  <c r="L357" i="4"/>
  <c r="L356" i="4"/>
  <c r="L355" i="4"/>
  <c r="H338" i="4"/>
  <c r="J338" i="4" s="1"/>
  <c r="J337" i="4"/>
  <c r="H337" i="4"/>
  <c r="L329" i="4"/>
  <c r="K328" i="4"/>
  <c r="I328" i="4"/>
  <c r="L328" i="4" s="1"/>
  <c r="G328" i="4"/>
  <c r="J319" i="4"/>
  <c r="J305" i="4" a="1"/>
  <c r="J305" i="4" s="1"/>
  <c r="H285" i="4"/>
  <c r="H284" i="4"/>
  <c r="H283" i="4"/>
  <c r="H282" i="4"/>
  <c r="J271" i="4"/>
  <c r="J267" i="4"/>
  <c r="J263" i="4"/>
  <c r="J259" i="4"/>
  <c r="J255" i="4"/>
  <c r="J252" i="4"/>
  <c r="H252" i="4"/>
  <c r="F252" i="4"/>
  <c r="K251" i="4"/>
  <c r="I251" i="4"/>
  <c r="G251" i="4"/>
  <c r="I235" i="4"/>
  <c r="G232" i="4"/>
  <c r="G231" i="4"/>
  <c r="G230" i="4"/>
  <c r="H227" i="4" a="1"/>
  <c r="H227" i="4" s="1"/>
  <c r="G227" i="4" a="1"/>
  <c r="G227" i="4" s="1"/>
  <c r="F227" i="4" a="1"/>
  <c r="F227" i="4" s="1"/>
  <c r="E227" i="4" a="1"/>
  <c r="E227" i="4" s="1"/>
  <c r="G216" i="4"/>
  <c r="I214" i="4"/>
  <c r="G214" i="4"/>
  <c r="E214" i="4"/>
  <c r="J214" i="4" s="1"/>
  <c r="G208" i="4"/>
  <c r="G200" i="4"/>
  <c r="G192" i="4"/>
  <c r="I186" i="4"/>
  <c r="F186" i="4"/>
  <c r="G176" i="4"/>
  <c r="G164" i="4"/>
  <c r="G149" i="4"/>
  <c r="I147" i="4"/>
  <c r="J147" i="4" s="1"/>
  <c r="I146" i="4"/>
  <c r="J146" i="4" s="1"/>
  <c r="G139" i="4"/>
  <c r="I137" i="4"/>
  <c r="J137" i="4" s="1"/>
  <c r="I136" i="4"/>
  <c r="J136" i="4" s="1"/>
  <c r="I135" i="4"/>
  <c r="J135" i="4" s="1"/>
  <c r="I134" i="4"/>
  <c r="J134" i="4" s="1"/>
  <c r="I133" i="4"/>
  <c r="J133" i="4" s="1"/>
  <c r="I132" i="4"/>
  <c r="J132" i="4" s="1"/>
  <c r="I131" i="4"/>
  <c r="J131" i="4" s="1"/>
  <c r="G124" i="4"/>
  <c r="L120" i="4"/>
  <c r="J120" i="4"/>
  <c r="H120" i="4"/>
  <c r="D120" i="4"/>
  <c r="L119" i="4"/>
  <c r="J119" i="4"/>
  <c r="H119" i="4"/>
  <c r="D119" i="4"/>
  <c r="L118" i="4"/>
  <c r="J118" i="4"/>
  <c r="H118" i="4"/>
  <c r="D118" i="4"/>
  <c r="L117" i="4"/>
  <c r="J117" i="4"/>
  <c r="H117" i="4"/>
  <c r="D117" i="4"/>
  <c r="L116" i="4"/>
  <c r="J116" i="4"/>
  <c r="H116" i="4"/>
  <c r="D116" i="4"/>
  <c r="F103" i="4"/>
  <c r="I101" i="4"/>
  <c r="I100" i="4"/>
  <c r="I99" i="4"/>
  <c r="I98" i="4"/>
  <c r="J88" i="4"/>
  <c r="H88" i="4"/>
  <c r="J87" i="4"/>
  <c r="H87" i="4"/>
  <c r="J86" i="4"/>
  <c r="H86" i="4"/>
  <c r="J85" i="4"/>
  <c r="H85" i="4"/>
  <c r="J72" i="4"/>
  <c r="H72" i="4"/>
  <c r="J66" i="4"/>
  <c r="H66" i="4"/>
  <c r="J65" i="4"/>
  <c r="H65" i="4"/>
  <c r="J64" i="4"/>
  <c r="H64" i="4"/>
  <c r="J63" i="4"/>
  <c r="H63" i="4"/>
  <c r="J62" i="4"/>
  <c r="H62" i="4"/>
  <c r="I57" i="4"/>
  <c r="I56" i="4"/>
  <c r="I55" i="4"/>
  <c r="L50" i="4"/>
  <c r="J50" i="4"/>
  <c r="D57" i="4"/>
  <c r="D50" i="4"/>
  <c r="L49" i="4"/>
  <c r="J49" i="4"/>
  <c r="D87" i="4"/>
  <c r="D49" i="4"/>
  <c r="L48" i="4"/>
  <c r="J48" i="4"/>
  <c r="D86" i="4"/>
  <c r="D48" i="4"/>
  <c r="L47" i="4"/>
  <c r="J47" i="4"/>
  <c r="E72" i="4"/>
  <c r="D47" i="4"/>
  <c r="H13" i="4"/>
  <c r="L11" i="4"/>
  <c r="L186" i="4" l="1"/>
  <c r="E64" i="4"/>
  <c r="K64" i="4" s="1"/>
  <c r="M64" i="4" s="1"/>
  <c r="E62" i="4"/>
  <c r="K62" i="4" s="1"/>
  <c r="M62" i="4" s="1"/>
  <c r="E63" i="4"/>
  <c r="K63" i="4" s="1"/>
  <c r="M63" i="4" s="1"/>
  <c r="E65" i="4"/>
  <c r="K65" i="4" s="1"/>
  <c r="M65" i="4" s="1"/>
  <c r="E66" i="4"/>
  <c r="K66" i="4" s="1"/>
  <c r="M66" i="4" s="1"/>
  <c r="K86" i="4"/>
  <c r="M86" i="4" s="1"/>
  <c r="J57" i="4"/>
  <c r="L57" i="4" s="1"/>
  <c r="L379" i="4"/>
  <c r="M251" i="4"/>
  <c r="K117" i="4"/>
  <c r="M117" i="4" s="1"/>
  <c r="K118" i="4"/>
  <c r="M118" i="4" s="1"/>
  <c r="K119" i="4"/>
  <c r="M119" i="4" s="1"/>
  <c r="K120" i="4"/>
  <c r="M120" i="4" s="1"/>
  <c r="K116" i="4"/>
  <c r="M116" i="4" s="1"/>
  <c r="D56" i="4"/>
  <c r="J56" i="4" s="1"/>
  <c r="L56" i="4" s="1"/>
  <c r="K87" i="4"/>
  <c r="M87" i="4" s="1"/>
  <c r="J100" i="4"/>
  <c r="L100" i="4" s="1"/>
  <c r="K48" i="4"/>
  <c r="M48" i="4" s="1"/>
  <c r="K49" i="4"/>
  <c r="M49" i="4" s="1"/>
  <c r="J99" i="4"/>
  <c r="L99" i="4" s="1"/>
  <c r="J101" i="4"/>
  <c r="L101" i="4" s="1"/>
  <c r="J55" i="4"/>
  <c r="L55" i="4" s="1"/>
  <c r="J98" i="4"/>
  <c r="L98" i="4" s="1"/>
  <c r="K72" i="4"/>
  <c r="M72" i="4" s="1"/>
  <c r="K47" i="4"/>
  <c r="M47" i="4" s="1"/>
  <c r="L377" i="4"/>
  <c r="D85" i="4"/>
  <c r="K85" i="4" s="1"/>
  <c r="M85" i="4" s="1"/>
  <c r="K50" i="4"/>
  <c r="M50" i="4" s="1"/>
  <c r="D88" i="4"/>
  <c r="K88" i="4" s="1"/>
  <c r="M88" i="4" s="1"/>
  <c r="J251" i="1"/>
  <c r="H251" i="1"/>
  <c r="F251" i="1"/>
  <c r="G208" i="1" l="1"/>
  <c r="G200" i="1"/>
  <c r="G192" i="1"/>
  <c r="G176" i="1"/>
  <c r="G164" i="1"/>
  <c r="G139" i="1"/>
  <c r="I235" i="1"/>
  <c r="H13" i="1"/>
  <c r="D120" i="1"/>
  <c r="D119" i="1"/>
  <c r="D118" i="1"/>
  <c r="D117" i="1"/>
  <c r="D116" i="1"/>
  <c r="D50" i="1"/>
  <c r="D49" i="1"/>
  <c r="D48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L377" i="1"/>
  <c r="G216" i="1"/>
  <c r="F103" i="1"/>
  <c r="J305" i="1" a="1"/>
  <c r="J305" i="1" s="1"/>
  <c r="J105" i="1"/>
  <c r="L11" i="1"/>
  <c r="L373" i="1"/>
  <c r="L372" i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H98" i="1" l="1"/>
  <c r="I47" i="1"/>
  <c r="K47" i="1" s="1"/>
  <c r="M47" i="1" s="1"/>
  <c r="E62" i="1"/>
  <c r="E72" i="1"/>
  <c r="D55" i="1"/>
  <c r="D85" i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L379" i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J98" i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  <c r="I72" i="1" l="1"/>
  <c r="K72" i="1" s="1"/>
  <c r="M72" i="1" s="1"/>
  <c r="I85" i="1"/>
  <c r="K85" i="1" s="1"/>
  <c r="M85" i="1" s="1"/>
  <c r="H55" i="1"/>
  <c r="J55" i="1" s="1"/>
  <c r="L55" i="1" s="1"/>
  <c r="I62" i="1"/>
  <c r="K62" i="1" s="1"/>
  <c r="M62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comments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<sst xmlns="http://schemas.openxmlformats.org/spreadsheetml/2006/main" count="4189" uniqueCount="1440">
  <si>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</si>
  <si>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</si>
  <si>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</si>
  <si>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</si>
  <si>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</si>
  <si>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</si>
  <si>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</si>
  <si>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</si>
  <si>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</si>
  <si>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</si>
  <si>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</si>
  <si>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</si>
  <si>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</si>
  <si>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</si>
  <si>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</si>
  <si>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</si>
  <si>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</si>
  <si>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</si>
  <si>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</si>
  <si>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</si>
  <si>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</si>
  <si>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</si>
  <si>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</si>
  <si>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</si>
  <si>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</si>
  <si>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</si>
  <si>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</si>
  <si>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</si>
  <si>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</si>
  <si>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</si>
  <si>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</si>
  <si>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</si>
  <si>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</si>
  <si>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</si>
  <si>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</si>
  <si>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</si>
  <si>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</si>
  <si>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</si>
  <si>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</si>
  <si>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</si>
  <si>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</si>
  <si>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</si>
  <si>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</si>
  <si>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</si>
  <si>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</si>
  <si>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</si>
  <si>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</si>
  <si>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</si>
  <si>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</si>
  <si>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</si>
  <si>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</si>
  <si>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</si>
  <si>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</si>
  <si>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</si>
  <si>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</si>
  <si>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</si>
  <si>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</si>
  <si>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</si>
  <si>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</si>
  <si>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</si>
  <si>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</si>
  <si>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</si>
  <si>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</si>
  <si>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</si>
  <si>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</si>
  <si>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</si>
  <si>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</si>
  <si>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</si>
  <si>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</si>
  <si>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</si>
  <si>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</si>
  <si>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</si>
  <si>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</si>
  <si>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</si>
  <si>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</si>
  <si>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</si>
  <si>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</si>
  <si>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</si>
  <si>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</si>
  <si>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</si>
  <si>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</si>
  <si>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</si>
  <si>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</si>
  <si>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</si>
  <si>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</si>
  <si>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</si>
  <si>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</si>
  <si>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</si>
  <si>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</si>
  <si>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</si>
  <si>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</si>
  <si>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</si>
  <si>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</si>
  <si>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</si>
  <si>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</si>
  <si>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</si>
  <si>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</si>
  <si>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</si>
  <si>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</si>
  <si>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</si>
  <si>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</si>
  <si>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</si>
  <si>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</si>
  <si>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</si>
  <si>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</si>
  <si>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</si>
  <si>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</si>
  <si>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</si>
  <si>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</si>
  <si>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</si>
  <si>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</si>
  <si>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</si>
  <si>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</si>
  <si>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</si>
  <si>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</si>
  <si>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</si>
  <si>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</si>
  <si>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</si>
  <si>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</si>
  <si>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</si>
  <si>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</si>
  <si>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</si>
  <si>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</si>
  <si>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</si>
  <si>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</si>
  <si>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</si>
  <si>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</si>
  <si>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</si>
  <si>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</si>
  <si>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</si>
  <si>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</si>
  <si>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</si>
  <si>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</si>
  <si>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</si>
  <si>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</si>
  <si>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</si>
  <si>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</si>
  <si>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</si>
  <si>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</si>
  <si>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</si>
  <si>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</si>
  <si>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</si>
  <si>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</si>
  <si>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</si>
  <si>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</si>
  <si>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</si>
  <si>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</si>
  <si>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</si>
  <si>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</si>
  <si>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</si>
  <si>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</si>
  <si>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</si>
  <si>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</si>
  <si>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</si>
  <si>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</si>
  <si>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</si>
  <si>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</si>
  <si>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</si>
  <si>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</si>
  <si>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</si>
  <si>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</si>
  <si>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</si>
  <si>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</si>
  <si>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</si>
  <si>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</si>
  <si>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</si>
  <si>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</si>
  <si>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</si>
  <si>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</si>
  <si>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</si>
  <si>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</si>
  <si>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</si>
  <si>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</si>
  <si>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</si>
  <si>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</si>
  <si>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</si>
  <si>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</si>
  <si>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</si>
  <si>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</si>
  <si>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</si>
  <si>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</si>
  <si>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</si>
  <si>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</si>
  <si>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</si>
  <si>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</si>
  <si>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</si>
  <si>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</si>
  <si>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</si>
  <si>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</si>
  <si>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</si>
  <si>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</si>
  <si>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</si>
  <si>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</si>
  <si>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</si>
  <si>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</si>
  <si>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</si>
  <si>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</si>
  <si>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</si>
  <si>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</si>
  <si>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</si>
  <si>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</si>
  <si>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</si>
  <si>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</si>
  <si>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</si>
  <si>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</si>
  <si>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</si>
  <si>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</si>
  <si>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</si>
  <si>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</si>
  <si>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</si>
  <si>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</si>
  <si>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</si>
  <si>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</si>
  <si>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</si>
  <si>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</si>
  <si>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</si>
  <si>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</si>
  <si>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</si>
  <si>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</si>
  <si>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</si>
  <si>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</si>
  <si>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</si>
  <si>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</si>
  <si>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</si>
  <si>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</si>
  <si>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</si>
  <si>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</si>
  <si>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</si>
  <si>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</si>
  <si>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</si>
  <si>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</si>
  <si>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</si>
  <si>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</si>
  <si>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</si>
  <si>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</si>
  <si>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</si>
  <si>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</si>
  <si>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</si>
  <si>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</si>
  <si>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</si>
  <si>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</si>
  <si>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</si>
  <si>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</si>
  <si>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</si>
  <si>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</si>
  <si>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</si>
  <si>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</si>
  <si>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</si>
  <si>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</si>
  <si>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</si>
  <si>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</si>
  <si>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</si>
  <si>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</si>
  <si>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</si>
  <si>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</si>
  <si>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</si>
  <si>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</si>
  <si>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</si>
  <si>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</si>
  <si>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</si>
  <si>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</si>
  <si>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</si>
  <si>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</si>
  <si>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</si>
  <si>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</si>
  <si>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</si>
  <si>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</si>
  <si>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</si>
  <si>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</si>
  <si>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</si>
  <si>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</si>
  <si>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</si>
  <si>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</si>
  <si>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</si>
  <si>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</si>
  <si>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</si>
  <si>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</si>
  <si>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</si>
  <si>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</si>
  <si>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</si>
  <si>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</si>
  <si>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</si>
  <si>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</si>
  <si>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</si>
  <si>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</si>
  <si>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</si>
  <si>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</si>
  <si>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</si>
  <si>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</si>
  <si>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</si>
  <si>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</si>
  <si>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</si>
  <si>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</si>
  <si>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</si>
  <si>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</si>
  <si>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</si>
  <si>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</si>
  <si>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</si>
  <si>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</si>
  <si>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</si>
  <si>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</si>
  <si>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</si>
  <si>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</si>
  <si>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</si>
  <si>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</si>
  <si>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</si>
  <si>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</si>
  <si>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</si>
  <si>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</si>
  <si>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</si>
  <si>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</si>
  <si>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</si>
  <si>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</si>
  <si>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</si>
  <si>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</si>
  <si>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</si>
  <si>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</si>
  <si>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</si>
  <si>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</si>
  <si>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</si>
  <si>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</si>
  <si>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</si>
  <si>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</si>
  <si>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</si>
  <si>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</si>
  <si>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</si>
  <si>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</si>
  <si>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</si>
  <si>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</si>
  <si>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</si>
  <si>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</si>
  <si>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</si>
  <si>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</si>
  <si>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</si>
  <si>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</si>
  <si>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</si>
  <si>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</si>
  <si>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</si>
  <si>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</si>
  <si>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</si>
  <si>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</si>
  <si>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</si>
  <si>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</si>
  <si>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</si>
  <si>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</si>
  <si>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</si>
  <si>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</si>
  <si>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</si>
  <si>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</si>
  <si>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</si>
  <si>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</si>
  <si>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</si>
  <si>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</si>
  <si>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</si>
  <si>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</si>
  <si>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</si>
  <si>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</si>
  <si>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</si>
  <si>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</si>
  <si>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</si>
  <si>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</si>
  <si>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</si>
  <si>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</si>
  <si>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</si>
  <si>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</si>
  <si>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</si>
  <si>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</si>
  <si>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</si>
  <si>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</si>
  <si>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</si>
  <si>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</si>
  <si>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</si>
  <si>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</si>
  <si>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</si>
  <si>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</si>
  <si>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</si>
  <si>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</si>
  <si>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</si>
  <si>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</si>
  <si>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</si>
  <si>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</si>
  <si>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</si>
  <si>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</si>
  <si>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</si>
  <si>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</si>
  <si>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</si>
  <si>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</si>
  <si>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</si>
  <si>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</si>
  <si>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</si>
  <si>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</si>
  <si>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</si>
  <si>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</si>
  <si>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</si>
  <si>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</si>
  <si>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</si>
  <si>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</si>
  <si>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</si>
  <si>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</si>
  <si>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</si>
  <si>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</si>
  <si>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</si>
  <si>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</si>
  <si>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</si>
  <si>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</si>
  <si>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</si>
  <si>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</si>
  <si>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</si>
  <si>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</si>
  <si>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</si>
  <si>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</si>
  <si>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</si>
  <si>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</si>
  <si>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</si>
  <si>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</si>
  <si>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</si>
  <si>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</si>
  <si>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</si>
  <si>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</si>
  <si>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</si>
  <si>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</si>
  <si>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</si>
  <si>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</si>
  <si>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</si>
  <si>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</si>
  <si>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</si>
  <si>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</si>
  <si>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</si>
  <si>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</si>
  <si>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</si>
  <si>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</si>
  <si>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</si>
  <si>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</si>
  <si>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</si>
  <si>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</si>
  <si>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</si>
  <si>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</si>
  <si>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</si>
  <si>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</si>
  <si>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</si>
  <si>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</si>
  <si>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</si>
  <si>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</si>
  <si>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</si>
  <si>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</si>
  <si>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</si>
  <si>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</si>
  <si>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</si>
  <si>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</si>
  <si>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</si>
  <si>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</si>
  <si>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</si>
  <si>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</si>
  <si>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</si>
  <si>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</si>
  <si>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</si>
  <si>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</si>
  <si>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</si>
  <si>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</si>
  <si>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</si>
  <si>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</si>
  <si>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</si>
  <si>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</si>
  <si>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</si>
  <si>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</si>
  <si>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</si>
  <si>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</si>
  <si>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</si>
  <si>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</si>
  <si>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</si>
  <si>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</si>
  <si>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</si>
  <si>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</si>
  <si>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</si>
  <si>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</si>
  <si>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</si>
  <si>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</si>
  <si>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</si>
  <si>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</si>
  <si>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</si>
  <si>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</si>
  <si>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</si>
  <si>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</si>
  <si>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</si>
  <si>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</si>
  <si>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</si>
  <si>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</si>
  <si>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</si>
  <si>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</si>
  <si>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</si>
  <si>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</si>
  <si>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</si>
  <si>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</si>
  <si>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</si>
  <si>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</si>
  <si>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</si>
  <si>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</si>
  <si>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</si>
  <si>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</si>
  <si>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</si>
  <si>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</si>
  <si>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</si>
  <si>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</si>
  <si>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</si>
  <si>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</si>
  <si>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</si>
  <si>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</si>
  <si>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</si>
  <si>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</si>
  <si>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</si>
  <si>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</si>
  <si>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</si>
  <si>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</si>
  <si>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</si>
  <si>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</si>
  <si>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</si>
  <si>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</si>
  <si>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</si>
  <si>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</si>
  <si>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</si>
  <si>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</si>
  <si>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</si>
  <si>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</si>
  <si>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</si>
  <si>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</si>
  <si>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</si>
  <si>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</si>
  <si>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</si>
  <si>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</si>
  <si>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</si>
  <si>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</si>
  <si>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</si>
  <si>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</si>
  <si>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</si>
  <si>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</si>
  <si>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</si>
  <si>
    <t>#!p_corr_photon</t>
  </si>
  <si>
    <t>Tprobe:</t>
  </si>
  <si>
    <t>#!t_probe_photon</t>
  </si>
  <si>
    <t>#!ctp_photon</t>
  </si>
  <si>
    <t>ptw_probe_id</t>
  </si>
  <si>
    <t>electrometer_id</t>
  </si>
  <si>
    <t>#!nd_photon</t>
  </si>
  <si>
    <t>#!p_corr_electron</t>
  </si>
  <si>
    <t>#!t_probe_electron</t>
  </si>
  <si>
    <t>#!ctp_electron</t>
  </si>
  <si>
    <t>#!markus_probe_id</t>
  </si>
  <si>
    <t>#!electrometer_id</t>
  </si>
  <si>
    <t>#!nd_electron</t>
  </si>
  <si>
    <t>#!ptw_7_nd</t>
  </si>
  <si>
    <t>#!markus_1_nd</t>
  </si>
  <si>
    <t>#!unidose_s1_p_elec</t>
  </si>
  <si>
    <t>#!ptw_2_nd</t>
  </si>
  <si>
    <t>#!markus_2_nd</t>
  </si>
  <si>
    <t>#!unidose_e2_p_elec</t>
  </si>
  <si>
    <t>#!vifir_tb1_photon_6x_fc</t>
  </si>
  <si>
    <t>#!vifir_tb1_photon_10x_fc</t>
  </si>
  <si>
    <t>#!vifir_tb1_photon_15x_fc</t>
  </si>
  <si>
    <t>#!vifir_tb1_photon_10xfff_fc</t>
  </si>
  <si>
    <t>#!vifir_tb1_electron_6e_fc</t>
  </si>
  <si>
    <t>#!vifir_tb1_electron_9e_fc</t>
  </si>
  <si>
    <t>#!vifir_tb1_electron_12e_fc</t>
  </si>
  <si>
    <t>#!vifir_tb1_electron_16e_fc</t>
  </si>
  <si>
    <t>#!vifir_tb1_electron_20e_fc</t>
  </si>
  <si>
    <t>#!ptw_3_nd</t>
  </si>
  <si>
    <t>#!markus_4_nd</t>
  </si>
  <si>
    <t>#!unidose_e3_p_elec</t>
  </si>
  <si>
    <t>#!viarbutus_tb2_photon_6x_fc</t>
  </si>
  <si>
    <t>#!viarbutus_tb2_photon_10x_fc</t>
  </si>
  <si>
    <t>#!viarbutus_tb2_photon_15x_fc</t>
  </si>
  <si>
    <t>#!viarbutus_tb2_photon_10xfff_fc</t>
  </si>
  <si>
    <t>#!viarbutus_tb2_electron_6e_fc</t>
  </si>
  <si>
    <t>#!viarbutus_tb2_electron_9e_fc</t>
  </si>
  <si>
    <t>#!viarbutus_tb2_electron_12e_fc</t>
  </si>
  <si>
    <t>#!viarbutus_tb2_electron_16e_fc</t>
  </si>
  <si>
    <t>#!viarbutus_tb2_electron_20e_fc</t>
  </si>
  <si>
    <t>#!ptw_4_nd</t>
  </si>
  <si>
    <t>#!markus_savd_nd</t>
  </si>
  <si>
    <t>#!unidose_e4_p_elec</t>
  </si>
  <si>
    <t>#!vibirch_tb3_photon_6x_fc</t>
  </si>
  <si>
    <t>#!vibirch_tb3_photon_10x_fc</t>
  </si>
  <si>
    <t>#!vibirch_tb3_photon_15x_fc</t>
  </si>
  <si>
    <t>#!vibirch_tb3_photon_10xfff_fc</t>
  </si>
  <si>
    <t>#!ptw_5_nd</t>
  </si>
  <si>
    <t>#!unidose_e5_p_elec</t>
  </si>
  <si>
    <t>#!vicedar_tb4_photon_6x_fc</t>
  </si>
  <si>
    <t>#!vicedar_tb4_photon_10x_fc</t>
  </si>
  <si>
    <t>#!vicedar_tb4_photon_15x_fc</t>
  </si>
  <si>
    <t>#!vicedar_tb4_photon_10xfff_fc</t>
  </si>
  <si>
    <t>#!ptw_6_nd</t>
  </si>
  <si>
    <t>#!vispruce_tb5_photon_6x_fc</t>
  </si>
  <si>
    <t>#!vispruce_tb5_photon_10x_fc</t>
  </si>
  <si>
    <t>#!vispruce_tb5_photon_15x_fc</t>
  </si>
  <si>
    <t>#!vispruce_tb5_photon_10xfff_fc</t>
  </si>
  <si>
    <t>#!vioak_tb6_photon_6x_fc</t>
  </si>
  <si>
    <t>#!vioak_tb6_photon_10x_fc</t>
  </si>
  <si>
    <t>#!vioak_tb6_photon_15x_fc</t>
  </si>
  <si>
    <t>#!vioak_tb6_photon_10xfff_fc</t>
  </si>
  <si>
    <t>long</t>
  </si>
  <si>
    <t>short</t>
  </si>
  <si>
    <t>description</t>
  </si>
  <si>
    <t>track</t>
  </si>
  <si>
    <t>sheet</t>
  </si>
  <si>
    <t>type</t>
  </si>
  <si>
    <t>format</t>
  </si>
  <si>
    <t>category</t>
  </si>
  <si>
    <t>UNIDOSE S1</t>
  </si>
  <si>
    <t>unidose_s1_p_elec</t>
  </si>
  <si>
    <t>UNIDOSE S1 Electrometer s/n 50095</t>
  </si>
  <si>
    <t>Data</t>
  </si>
  <si>
    <t>constant</t>
  </si>
  <si>
    <t>%0.3f</t>
  </si>
  <si>
    <t>Dosimetry</t>
  </si>
  <si>
    <t>UNIDOSE E2</t>
  </si>
  <si>
    <t>unidose_e2_p_elec</t>
  </si>
  <si>
    <t>UNIDOSE E2 Electrometer s/n 0013</t>
  </si>
  <si>
    <t>UNIDOSE E3</t>
  </si>
  <si>
    <t>unidose_e3_p_elec</t>
  </si>
  <si>
    <t>UNIDOSE E3 Electrometer s/n 0034</t>
  </si>
  <si>
    <t>UNIDOSE E4</t>
  </si>
  <si>
    <t>unidose_e4_p_elec</t>
  </si>
  <si>
    <t>UNIDOSE E4 Electrometer s/n 0035</t>
  </si>
  <si>
    <t>UNIDOSE E5</t>
  </si>
  <si>
    <t>unidose_e5_p_elec</t>
  </si>
  <si>
    <t>UNIDOSE E5 Electrometer s/n 0980</t>
  </si>
  <si>
    <t>Markus #1</t>
  </si>
  <si>
    <t>markus_1_nd</t>
  </si>
  <si>
    <t>Markus Probe #1 s/n 1705</t>
  </si>
  <si>
    <t>Markus #2</t>
  </si>
  <si>
    <t>markus_2_nd</t>
  </si>
  <si>
    <t>Markus Probe #2 s/n 0434</t>
  </si>
  <si>
    <t>Markus #4</t>
  </si>
  <si>
    <t>markus_4_nd</t>
  </si>
  <si>
    <t>Markus Probe #4 s/n 4249</t>
  </si>
  <si>
    <t>Markus Savd</t>
  </si>
  <si>
    <t>markus_savd_nd</t>
  </si>
  <si>
    <t>Markus Savd Probe s/n 1305</t>
  </si>
  <si>
    <t>ptw_7_nd</t>
  </si>
  <si>
    <t>PTW Probe #7 s/n 2525</t>
  </si>
  <si>
    <t>ptw_2_nd</t>
  </si>
  <si>
    <t>PTW Probe #2 s/n 1905</t>
  </si>
  <si>
    <t>ptw_3_nd</t>
  </si>
  <si>
    <t>PTW Probe #3 s/n 2215</t>
  </si>
  <si>
    <t>ptw_4_nd</t>
  </si>
  <si>
    <t>PTW Probe #4 s/n 2216</t>
  </si>
  <si>
    <t>ptw_5_nd</t>
  </si>
  <si>
    <t>PTW Probe #5 s/n 2217</t>
  </si>
  <si>
    <t>ptw_6_nd</t>
  </si>
  <si>
    <t>PTW Probe #6 s/n 2359</t>
  </si>
  <si>
    <t>Fir Photon Solid Water Factor 6X</t>
  </si>
  <si>
    <t>vifir_tb1_photon_6x_fc</t>
  </si>
  <si>
    <t>%0.2f</t>
  </si>
  <si>
    <t>Fir Photon Solid Water Factor 10X</t>
  </si>
  <si>
    <t>vifir_tb1_photon_10x_fc</t>
  </si>
  <si>
    <t>Fir Photon Solid Water Factor 15X</t>
  </si>
  <si>
    <t>vifir_tb1_photon_15x_fc</t>
  </si>
  <si>
    <t>Fir Photon Solid Water Factor 10XFFF</t>
  </si>
  <si>
    <t>vifir_tb1_photon_10xfff_fc</t>
  </si>
  <si>
    <t>Arbutus Photon Solid Water Factor 6X</t>
  </si>
  <si>
    <t>viarbutus_tb2_photon_6x_fc</t>
  </si>
  <si>
    <t>Arbutus Photon Solid Water Factor 10X</t>
  </si>
  <si>
    <t>viarbutus_tb2_photon_10x_fc</t>
  </si>
  <si>
    <t>Arbutus Photon Solid Water Factor 15X</t>
  </si>
  <si>
    <t>viarbutus_tb2_photon_15x_fc</t>
  </si>
  <si>
    <t>Arbutus Photon Solid Water Factor 10XFFF</t>
  </si>
  <si>
    <t>viarbutus_tb2_photon_10xfff_fc</t>
  </si>
  <si>
    <t>Birch Photon Solid Water Factor 6X</t>
  </si>
  <si>
    <t>vibirch_tb3_photon_6x_fc</t>
  </si>
  <si>
    <t>Birch Photon Solid Water Factor 10X</t>
  </si>
  <si>
    <t>vibirch_tb3_photon_10x_fc</t>
  </si>
  <si>
    <t>Birch Photon Solid Water Factor 15X</t>
  </si>
  <si>
    <t>vibirch_tb3_photon_15x_fc</t>
  </si>
  <si>
    <t>Birch Photon Solid Water Factor 10XFFF</t>
  </si>
  <si>
    <t>vibirch_tb3_photon_10xfff_fc</t>
  </si>
  <si>
    <t>Cedar Photon Solid Water Factor 6X</t>
  </si>
  <si>
    <t>vicedar_tb4_photon_6x_fc</t>
  </si>
  <si>
    <t>Cedar Photon Solid Water Factor 10X</t>
  </si>
  <si>
    <t>vicedar_tb4_photon_10x_fc</t>
  </si>
  <si>
    <t>Cedar Photon Solid Water Factor 15X</t>
  </si>
  <si>
    <t>vicedar_tb4_photon_15x_fc</t>
  </si>
  <si>
    <t>Cedar Photon Solid Water Factor 10XFFF</t>
  </si>
  <si>
    <t>vicedar_tb4_photon_10xfff_fc</t>
  </si>
  <si>
    <t>Spruce Photon Solid Water Factor 6X</t>
  </si>
  <si>
    <t>vispruce_tb5_photon_6x_fc</t>
  </si>
  <si>
    <t>Spruce Photon Solid Water Factor 10X</t>
  </si>
  <si>
    <t>vispruce_tb5_photon_10x_fc</t>
  </si>
  <si>
    <t>Spruce Photon Solid Water Factor 15X</t>
  </si>
  <si>
    <t>vispruce_tb5_photon_15x_fc</t>
  </si>
  <si>
    <t>Spruce Photon Solid Water Factor 10XFFF</t>
  </si>
  <si>
    <t>vispruce_tb5_photon_10xfff_fc</t>
  </si>
  <si>
    <t>Oak Photon Solid Water Factor 6X</t>
  </si>
  <si>
    <t>vioak_tb6_photon_6x_fc</t>
  </si>
  <si>
    <t>Oak Photon Solid Water Factor 10X</t>
  </si>
  <si>
    <t>vioak_tb6_photon_10x_fc</t>
  </si>
  <si>
    <t>Oak Photon Solid Water Factor 15X</t>
  </si>
  <si>
    <t>vioak_tb6_photon_15x_fc</t>
  </si>
  <si>
    <t>Oak Photon Solid Water Factor 10XFFF</t>
  </si>
  <si>
    <t>vioak_tb6_photon_10xfff_fc</t>
  </si>
  <si>
    <t>Arbutus Electron Solid Water Factor 6E</t>
  </si>
  <si>
    <t>viarbutus_tb2_electron_6e_fc</t>
  </si>
  <si>
    <t>%0.1f</t>
  </si>
  <si>
    <t>Arbutus Electron Solid Water Factor 9E</t>
  </si>
  <si>
    <t>viarbutus_tb2_electron_9e_fc</t>
  </si>
  <si>
    <t>Arbutus Electron Solid Water Factor 12E</t>
  </si>
  <si>
    <t>viarbutus_tb2_electron_12e_fc</t>
  </si>
  <si>
    <t>Arbutus Electron Solid Water Factor 16E</t>
  </si>
  <si>
    <t>viarbutus_tb2_electron_16e_fc</t>
  </si>
  <si>
    <t>Arbutus Electron Solid Water Factor 20E</t>
  </si>
  <si>
    <t>viarbutus_tb2_electron_20e_fc</t>
  </si>
  <si>
    <t>Fir Electron Solid Water Factor 6E</t>
  </si>
  <si>
    <t>vifir_tb1_electron_6e_fc</t>
  </si>
  <si>
    <t>Fir Electron Solid Water Factor 9E</t>
  </si>
  <si>
    <t>vifir_tb1_electron_9e_fc</t>
  </si>
  <si>
    <t>Fir Electron Solid Water Factor 12E</t>
  </si>
  <si>
    <t>vifir_tb1_electron_12e_fc</t>
  </si>
  <si>
    <t>Fir Electron Solid Water Factor 16E</t>
  </si>
  <si>
    <t>vifir_tb1_electron_16e_fc</t>
  </si>
  <si>
    <t>Fir Electron Solid Water Factor 20E</t>
  </si>
  <si>
    <t>vifir_tb1_electron_20e_fc</t>
  </si>
  <si>
    <t>Birch Electron Solid Water Factor 6E</t>
  </si>
  <si>
    <t>Birch Electron Solid Water Factor 9E</t>
  </si>
  <si>
    <t>Birch Electron Solid Water Factor 12E</t>
  </si>
  <si>
    <t>Birch Electron Solid Water Factor 16E</t>
  </si>
  <si>
    <t>Birch Electron Solid Water Factor 20E</t>
  </si>
  <si>
    <t>Electrometer ID</t>
  </si>
  <si>
    <t>Main</t>
  </si>
  <si>
    <t>pulldown</t>
  </si>
  <si>
    <t>UNIDOSE S1,UNIDOSE E2,UNIDOSE E3,UNIDOSE E4,UNIDOSE E5</t>
  </si>
  <si>
    <t>Markus Probe ID</t>
  </si>
  <si>
    <t>markus_probe_id</t>
  </si>
  <si>
    <t>MKS1,MKS2,MKS4,MKSavd</t>
  </si>
  <si>
    <t>CTP (Photon)</t>
  </si>
  <si>
    <t>ctp_photon</t>
  </si>
  <si>
    <t>Corrected Temperature Pressure (photon)</t>
  </si>
  <si>
    <t>calculation</t>
  </si>
  <si>
    <t>CTP (Electron)</t>
  </si>
  <si>
    <t>ctp_electron</t>
  </si>
  <si>
    <t>Corrected Temperature Pressure (electron)</t>
  </si>
  <si>
    <t>ND Ratio (Photon)</t>
  </si>
  <si>
    <t>nd_photon</t>
  </si>
  <si>
    <t>ND Ratio (photon)</t>
  </si>
  <si>
    <t>ND Ratio (Electron)</t>
  </si>
  <si>
    <t>nd_electron</t>
  </si>
  <si>
    <t>ND Ratio (electron)</t>
  </si>
  <si>
    <t>Pressure (Photon)</t>
  </si>
  <si>
    <t>p_corr_photon</t>
  </si>
  <si>
    <t>Corrected Pressure (photon)</t>
  </si>
  <si>
    <t>numeric</t>
  </si>
  <si>
    <t>Pressure (Electron)</t>
  </si>
  <si>
    <t>p_corr_electron</t>
  </si>
  <si>
    <t>Corrected Pressure (electron)</t>
  </si>
  <si>
    <t>PTW Probe ID</t>
  </si>
  <si>
    <t>PTW2,PTW3,PTW4,PTW5,PTW6,PTW7</t>
  </si>
  <si>
    <t>Temperature (Photon)</t>
  </si>
  <si>
    <t>t_probe_photon</t>
  </si>
  <si>
    <t>Probe Temperature (photon)</t>
  </si>
  <si>
    <t>Temperature (Electron)</t>
  </si>
  <si>
    <t>t_probe_electron</t>
  </si>
  <si>
    <t>Probe Temperature (electron)</t>
  </si>
  <si>
    <t>#!ptw_probe_id</t>
  </si>
  <si>
    <t>PASS,FAIL</t>
  </si>
  <si>
    <t>#!vibirch_tb3_electron_6e_fc</t>
  </si>
  <si>
    <t>#!vibirch_tb3_electron_9e_fc</t>
  </si>
  <si>
    <t>#!vibirch_tb3_electron_12e_fc</t>
  </si>
  <si>
    <t>#!vibirch_tb3_electron_16e_fc</t>
  </si>
  <si>
    <t>#!vibirch_tb3_electron_20e_fc</t>
  </si>
  <si>
    <t>vibirch_tb3_electron_6e_fc</t>
  </si>
  <si>
    <t>vibirch_tb3_electron_9e_fc</t>
  </si>
  <si>
    <t>vibirch_tb3_electron_12e_fc</t>
  </si>
  <si>
    <t>vibirch_tb3_electron_16e_fc</t>
  </si>
  <si>
    <t>vibirch_tb3_electron_20e_fc</t>
  </si>
  <si>
    <t>monthly_OC_6X_10x10_1</t>
  </si>
  <si>
    <t>monthly_OC_6X_10x10_2</t>
  </si>
  <si>
    <t>monthly_OC_6X_10x10_3</t>
  </si>
  <si>
    <t>monthly_OC_10X_10x10_1</t>
  </si>
  <si>
    <t>monthly_OC_10X_10x10_2</t>
  </si>
  <si>
    <t>monthly_OC_10X_10x10_3</t>
  </si>
  <si>
    <t>monthly_OC_10Xfff_10x10_1</t>
  </si>
  <si>
    <t>monthly_OC_10Xfff_10x10_2</t>
  </si>
  <si>
    <t>monthly_OC_10Xfff_10x10_3</t>
  </si>
  <si>
    <t>monthly_OC_15X_10x10_1</t>
  </si>
  <si>
    <t>monthly_OC_15X_10x10_2</t>
  </si>
  <si>
    <t>monthly_OC_15X_10x10_3</t>
  </si>
  <si>
    <t>monthly_OC_6X_10x10_DOSE</t>
  </si>
  <si>
    <t>monthly_OC_10X_10x10_DOSE</t>
  </si>
  <si>
    <t>monthly_OC_10Xfff_10x10_DOSE</t>
  </si>
  <si>
    <t>monthly_OC_15X_10x10_DOSE</t>
  </si>
  <si>
    <t>monthly_EDWF_6X</t>
  </si>
  <si>
    <t>monthly_EDWF_10X</t>
  </si>
  <si>
    <t>monthly_EDWF_15X</t>
  </si>
  <si>
    <t>monthly_EDW60IN_6X</t>
  </si>
  <si>
    <t>monthly_EDW60OUT_6X</t>
  </si>
  <si>
    <t>monthly_EDW60IN_10X</t>
  </si>
  <si>
    <t>monthly_EDW60OUT_10X</t>
  </si>
  <si>
    <t>monthly_EDW60IN_15X</t>
  </si>
  <si>
    <t>monthly_EDW60OUT_15X</t>
  </si>
  <si>
    <t>monthly_dmlc_5mm_ratio</t>
  </si>
  <si>
    <t>monthly_dmlc_5mm_Int_ratio</t>
  </si>
  <si>
    <t>monthly_dmlc_Hold_ratio</t>
  </si>
  <si>
    <t>monthly_dmlc_Prostate_6X_ratio</t>
  </si>
  <si>
    <t>monthly_dmlc_HN_ratio</t>
  </si>
  <si>
    <t>monthly_dmlc_5mm_1</t>
  </si>
  <si>
    <t>monthly_dmlc_5mm_2</t>
  </si>
  <si>
    <t>monthly_dmlc_5mm_Int_1</t>
  </si>
  <si>
    <t>monthly_dmlc_5mm_Int_2</t>
  </si>
  <si>
    <t>monthly_dmlc_Hold_1</t>
  </si>
  <si>
    <t>monthly_dmlc_Hold_2</t>
  </si>
  <si>
    <t>monthly_dmlc_Prostate_6X_1</t>
  </si>
  <si>
    <t>monthly_dmlc_Prostate_6X_2</t>
  </si>
  <si>
    <t>monthly_dmlc_HN_1</t>
  </si>
  <si>
    <t>monthly_dmlc_HN_2</t>
  </si>
  <si>
    <t>monthly_VMAT_6X_factor</t>
  </si>
  <si>
    <t>monthly_VMAT_factor_ccw</t>
  </si>
  <si>
    <t>monthly_VMAT_factor_cw</t>
  </si>
  <si>
    <t>monthly_dmlc_error</t>
  </si>
  <si>
    <t>monthly_TMR_6X_1</t>
  </si>
  <si>
    <t>monthly_TMR_6X_2</t>
  </si>
  <si>
    <t>monthly_TMR_10X_1</t>
  </si>
  <si>
    <t>monthly_TMR_10X_2</t>
  </si>
  <si>
    <t>monthly_TMR_10fff_1</t>
  </si>
  <si>
    <t>monthly_TMR_10fff_2</t>
  </si>
  <si>
    <t>monthly_TMR_15X_1</t>
  </si>
  <si>
    <t>monthly_TMR_15X_2</t>
  </si>
  <si>
    <t>monthly_TMR_6X</t>
  </si>
  <si>
    <t>monthly_TMR_10X</t>
  </si>
  <si>
    <t>monthly_TMR_10fff</t>
  </si>
  <si>
    <t>monthly_TMR_15X</t>
  </si>
  <si>
    <t>monthly_dose_index_HEAD_corr</t>
  </si>
  <si>
    <t>monthly_dose_index_SPOTLIGHT_corr</t>
  </si>
  <si>
    <t>monthly_dose_index_THORAX_corr</t>
  </si>
  <si>
    <t>monthly_dose_index_PELVIS_corr</t>
  </si>
  <si>
    <t>monthly_dose_index_HEAD</t>
  </si>
  <si>
    <t>monthly_dose_index_SPOTLIGHT</t>
  </si>
  <si>
    <t>monthly_dose_index_THORAX</t>
  </si>
  <si>
    <t>monthly_dose_index_PELVIS</t>
  </si>
  <si>
    <t>monthly_OC_6E_DOSE</t>
  </si>
  <si>
    <t>monthly_OC_9E_DOSE</t>
  </si>
  <si>
    <t>monthly_OC_12E_DOSE</t>
  </si>
  <si>
    <t>monthly_OC_16E_DOSE</t>
  </si>
  <si>
    <t>monthly_OC_20E_DOSE</t>
  </si>
  <si>
    <t>monthly_OC_6E_1</t>
  </si>
  <si>
    <t>monthly_OC_6E_2</t>
  </si>
  <si>
    <t>monthly_OC_6E_3</t>
  </si>
  <si>
    <t>monthly_OC_9E_1</t>
  </si>
  <si>
    <t>monthly_OC_9E_2</t>
  </si>
  <si>
    <t>monthly_OC_9E_3</t>
  </si>
  <si>
    <t>monthly_OC_12E_1</t>
  </si>
  <si>
    <t>monthly_OC_12E_2</t>
  </si>
  <si>
    <t>monthly_OC_12E_3</t>
  </si>
  <si>
    <t>monthly_OC_16E_1</t>
  </si>
  <si>
    <t>monthly_OC_16E_2</t>
  </si>
  <si>
    <t>monthly_OC_16E_3</t>
  </si>
  <si>
    <t>monthly_OC_20E_1</t>
  </si>
  <si>
    <t>monthly_OC_20E_2</t>
  </si>
  <si>
    <t>monthly_OC_20E_3</t>
  </si>
  <si>
    <t>#!monthly_OC_6E_DOSE</t>
  </si>
  <si>
    <t>#!monthly_OC_9E_DOSE</t>
  </si>
  <si>
    <t>#!monthly_OC_12E_DOSE</t>
  </si>
  <si>
    <t>#!monthly_OC_16E_DOSE</t>
  </si>
  <si>
    <t>#!monthly_OC_20E_DOSE</t>
  </si>
  <si>
    <t>#!monthly_OC_6E_1</t>
  </si>
  <si>
    <t>#!monthly_OC_6E_2</t>
  </si>
  <si>
    <t>#!monthly_OC_6E_3</t>
  </si>
  <si>
    <t>#!monthly_OC_9E_1</t>
  </si>
  <si>
    <t>#!monthly_OC_9E_2</t>
  </si>
  <si>
    <t>#!monthly_OC_9E_3</t>
  </si>
  <si>
    <t>#!monthly_OC_12E_1</t>
  </si>
  <si>
    <t>#!monthly_OC_12E_2</t>
  </si>
  <si>
    <t>#!monthly_OC_12E_3</t>
  </si>
  <si>
    <t>#!monthly_OC_16E_1</t>
  </si>
  <si>
    <t>#!monthly_OC_16E_2</t>
  </si>
  <si>
    <t>#!monthly_OC_16E_3</t>
  </si>
  <si>
    <t>#!monthly_OC_20E_1</t>
  </si>
  <si>
    <t>#!monthly_OC_20E_2</t>
  </si>
  <si>
    <t>#!monthly_OC_20E_3</t>
  </si>
  <si>
    <t>#!monthly_dose_index_HEAD</t>
  </si>
  <si>
    <t>#!monthly_dose_index_SPOTLIGHT</t>
  </si>
  <si>
    <t>#!monthly_dose_index_THORAX</t>
  </si>
  <si>
    <t>#!monthly_dose_index_PELVIS</t>
  </si>
  <si>
    <t>#!monthly_dose_index_HEAD_corr</t>
  </si>
  <si>
    <t>#!monthly_dose_index_SPOTLIGHT_corr</t>
  </si>
  <si>
    <t>#!monthly_dose_index_THORAX_corr</t>
  </si>
  <si>
    <t>#!monthly_dose_index_PELVIS_corr</t>
  </si>
  <si>
    <t>#!monthly_dmlc_error</t>
  </si>
  <si>
    <t>#!monthly_EDW60IN_6X</t>
  </si>
  <si>
    <t>#!monthly_EDW60OUT_6X</t>
  </si>
  <si>
    <t>#!monthly_EDW60IN_10X</t>
  </si>
  <si>
    <t>#!monthly_EDW60OUT_10X</t>
  </si>
  <si>
    <t>#!monthly_EDW60IN_15X</t>
  </si>
  <si>
    <t>#!monthly_EDW60OUT_15X</t>
  </si>
  <si>
    <t>#!monthly_EDWF_6X</t>
  </si>
  <si>
    <t>#!monthly_EDWF_10X</t>
  </si>
  <si>
    <t>#!monthly_EDWF_15X</t>
  </si>
  <si>
    <t>#!monthly_TMR_6X_1</t>
  </si>
  <si>
    <t>#!monthly_TMR_6X_2</t>
  </si>
  <si>
    <t>#!monthly_TMR_10X_1</t>
  </si>
  <si>
    <t>#!monthly_TMR_10X_2</t>
  </si>
  <si>
    <t>#!monthly_TMR_10fff_1</t>
  </si>
  <si>
    <t>#!monthly_TMR_10fff_2</t>
  </si>
  <si>
    <t>#!monthly_TMR_15X_1</t>
  </si>
  <si>
    <t>#!monthly_TMR_15X_2</t>
  </si>
  <si>
    <t>#!monthly_TMR_6X</t>
  </si>
  <si>
    <t>#!monthly_TMR_10X</t>
  </si>
  <si>
    <t>#!monthly_TMR_10fff</t>
  </si>
  <si>
    <t>#!monthly_TMR_15X</t>
  </si>
  <si>
    <t>#!monthly_dmlc_5mm_1</t>
  </si>
  <si>
    <t>#!monthly_dmlc_5mm_2</t>
  </si>
  <si>
    <t>#!monthly_dmlc_5mm_Int_1</t>
  </si>
  <si>
    <t>#!monthly_dmlc_5mm_Int_2</t>
  </si>
  <si>
    <t>#!monthly_dmlc_Hold_1</t>
  </si>
  <si>
    <t>#!monthly_dmlc_Hold_2</t>
  </si>
  <si>
    <t>#!monthly_dmlc_Prostate_6X_1</t>
  </si>
  <si>
    <t>#!monthly_dmlc_Prostate_6X_2</t>
  </si>
  <si>
    <t>#!monthly_dmlc_HN_1</t>
  </si>
  <si>
    <t>#!monthly_dmlc_HN_2</t>
  </si>
  <si>
    <t>#!monthly_dmlc_5mm_ratio</t>
  </si>
  <si>
    <t>#!monthly_dmlc_5mm_Int_ratio</t>
  </si>
  <si>
    <t>#!monthly_dmlc_Hold_ratio</t>
  </si>
  <si>
    <t>#!monthly_dmlc_Prostate_6X_ratio</t>
  </si>
  <si>
    <t>#!monthly_dmlc_HN_ratio</t>
  </si>
  <si>
    <t>#!monthly_OC_6X_10x10_1</t>
  </si>
  <si>
    <t>#!monthly_OC_6X_10x10_2</t>
  </si>
  <si>
    <t>#!monthly_OC_6X_10x10_3</t>
  </si>
  <si>
    <t>#!monthly_OC_10X_10x10_1</t>
  </si>
  <si>
    <t>#!monthly_OC_10X_10x10_2</t>
  </si>
  <si>
    <t>#!monthly_OC_10X_10x10_3</t>
  </si>
  <si>
    <t>#!monthly_OC_10Xfff_10x10_1</t>
  </si>
  <si>
    <t>#!monthly_OC_10Xfff_10x10_2</t>
  </si>
  <si>
    <t>#!monthly_OC_10Xfff_10x10_3</t>
  </si>
  <si>
    <t>#!monthly_OC_15X_10x10_1</t>
  </si>
  <si>
    <t>#!monthly_OC_15X_10x10_2</t>
  </si>
  <si>
    <t>#!monthly_OC_15X_10x10_3</t>
  </si>
  <si>
    <t>#!monthly_OC_6X_10x10_DOSE</t>
  </si>
  <si>
    <t>#!monthly_OC_10X_10x10_DOSE</t>
  </si>
  <si>
    <t>#!monthly_OC_10Xfff_10x10_DOSE</t>
  </si>
  <si>
    <t>#!monthly_OC_15X_10x10_DOSE</t>
  </si>
  <si>
    <t>#!monthly_VMAT_factor_ccw</t>
  </si>
  <si>
    <t>#!monthly_VMAT_factor_cw</t>
  </si>
  <si>
    <t>#!monthly_VMAT_6X_factor</t>
  </si>
  <si>
    <t>#!monthly_light_coincidence_jaw_x1</t>
  </si>
  <si>
    <t>#!monthly_light_coincidence_jaw_x2</t>
  </si>
  <si>
    <t>#!monthly_light_coincidence_jaw_y1</t>
  </si>
  <si>
    <t>#!monthly_light_coincidence_jaw_y2</t>
  </si>
  <si>
    <t>#!monthly_6x_rad_coincidence_jaw_x1</t>
  </si>
  <si>
    <t>#!monthly_6x_rad_coincidence_jaw_x2</t>
  </si>
  <si>
    <t>#!monthly_6x_rad_coincidence_jaw_y1</t>
  </si>
  <si>
    <t>#!monthly_6x_rad_coincidence_jaw_y2</t>
  </si>
  <si>
    <t>#!monthly_10x_rad_coincidence_jaw_x1</t>
  </si>
  <si>
    <t>#!monthly_10x_rad_coincidence_jaw_x2</t>
  </si>
  <si>
    <t>#!monthly_10x_rad_coincidence_jaw_y1</t>
  </si>
  <si>
    <t>#!monthly_10x_rad_coincidence_jaw_y2</t>
  </si>
  <si>
    <t>#!monthly_15x_rad_coincidence_jaw_x1</t>
  </si>
  <si>
    <t>#!monthly_15x_rad_coincidence_jaw_x2</t>
  </si>
  <si>
    <t>#!monthly_15x_rad_coincidence_jaw_y1</t>
  </si>
  <si>
    <t>#!monthly_15x_rad_coincidence_jaw_y2</t>
  </si>
  <si>
    <t>#!monthly_6x_rad_coincidence_jaw_x1_result</t>
  </si>
  <si>
    <t>#!monthly_6x_rad_coincidence_jaw_x2_result</t>
  </si>
  <si>
    <t>#!monthly_6x_rad_coincidence_jaw_y1_result</t>
  </si>
  <si>
    <t>#!monthly_6x_rad_coincidence_jaw_y2_result</t>
  </si>
  <si>
    <t>#!monthly_10x_rad_coincidence_jaw_x1_result</t>
  </si>
  <si>
    <t>#!monthly_10x_rad_coincidence_jaw_x2_result</t>
  </si>
  <si>
    <t>#!monthly_10x_rad_coincidence_jaw_y1_result</t>
  </si>
  <si>
    <t>#!monthly_10x_rad_coincidence_jaw_y2_result</t>
  </si>
  <si>
    <t>#!monthly_15x_rad_coincidence_jaw_x1_result</t>
  </si>
  <si>
    <t>#!monthly_15x_rad_coincidence_jaw_x2_result</t>
  </si>
  <si>
    <t>#!monthly_15x_rad_coincidence_jaw_y1_result</t>
  </si>
  <si>
    <t>#!monthly_15x_rad_coincidence_jaw_y2_result</t>
  </si>
  <si>
    <t>#!monthly_light_coincidence_mlc_x1</t>
  </si>
  <si>
    <t>#!monthly_light_coincidence_mlc_x2</t>
  </si>
  <si>
    <t>#!monthly_light_coincidence_mlc_y1</t>
  </si>
  <si>
    <t>#!monthly_light_coincidence_mlc_y2</t>
  </si>
  <si>
    <t>#!monthly_6x_rad_coincidence_mlc_x1</t>
  </si>
  <si>
    <t>#!monthly_6x_rad_coincidence_mlc_x2</t>
  </si>
  <si>
    <t>#!monthly_6x_rad_coincidence_mlc_y1</t>
  </si>
  <si>
    <t>#!monthly_6x_rad_coincidence_mlc_y2</t>
  </si>
  <si>
    <t>#!monthly_6x_rad_coincidence_mlc_x1_result</t>
  </si>
  <si>
    <t>#!monthly_6x_rad_coincidence_mlc_x2_result</t>
  </si>
  <si>
    <t>#!monthly_6x_rad_coincidence_mlc_y1_result</t>
  </si>
  <si>
    <t>#!monthly_6x_rad_coincidence_mlc_y2_result</t>
  </si>
  <si>
    <t>#!monthly_MV_image_uniformity_x_flatness</t>
  </si>
  <si>
    <t>#!monthly_MV_image_uniformity_y_flatness</t>
  </si>
  <si>
    <t>#!monthly_MV_image_uniformity_x_symmetry</t>
  </si>
  <si>
    <t>#!monthly_MV_image_uniformity_y_symmetry</t>
  </si>
  <si>
    <t>#!monthly_MV_image_signal_roi_delta</t>
  </si>
  <si>
    <t>#!monthly_MV_image_noise_roi_delta</t>
  </si>
  <si>
    <t>#!monthly_MV_image_artefacts</t>
  </si>
  <si>
    <t>#!monthly_picket_fence_distance</t>
  </si>
  <si>
    <t>#!monthly_picket_fence_delta_peak_size</t>
  </si>
  <si>
    <t>#!monthly_picket_fence_individual_peak_size</t>
  </si>
  <si>
    <t>#!monthly_sliding_window</t>
  </si>
  <si>
    <t>#!monthly_friction_max_leaf_speed</t>
  </si>
  <si>
    <t>#!monthly_pips_pro_mv_f30</t>
  </si>
  <si>
    <t>#!monthly_pips_pro_mv_f10</t>
  </si>
  <si>
    <t>#!monthly_pips_pro_mv_CNR</t>
  </si>
  <si>
    <t>#!monthly_vmat_mechanical_picket_fence_grid_offset_x_0</t>
  </si>
  <si>
    <t>#!monthly_vmat_mechanical_picket_fence_grid_offset_x_90</t>
  </si>
  <si>
    <t>#!monthly_vmat_mechanical_picket_fence_grid_offset_x_180</t>
  </si>
  <si>
    <t>#!monthly_vmat_mechanical_picket_fence_grid_offset_x_270</t>
  </si>
  <si>
    <t>#!monthly_vmat_mechanical_picket_fence_grid_offset_x_vmat</t>
  </si>
  <si>
    <t>#!monthly_vmat_mechanical_picket_fence_grid_offset_y_0</t>
  </si>
  <si>
    <t>#!monthly_vmat_mechanical_picket_fence_grid_offset_y_90</t>
  </si>
  <si>
    <t>#!monthly_vmat_mechanical_picket_fence_grid_offset_y_180</t>
  </si>
  <si>
    <t>#!monthly_vmat_mechanical_picket_fence_grid_offset_y_270</t>
  </si>
  <si>
    <t>#!monthly_vmat_mechanical_picket_fence_grid_offset_y_vmat</t>
  </si>
  <si>
    <t>#!monthly_vmat_mechanical_picket_fence_grid_offset_distance_0</t>
  </si>
  <si>
    <t>#!monthly_vmat_mechanical_picket_fence_grid_offset_distance_90</t>
  </si>
  <si>
    <t>#!monthly_vmat_mechanical_picket_fence_grid_offset_distance_180</t>
  </si>
  <si>
    <t>#!monthly_vmat_mechanical_picket_fence_grid_offset_distance_270</t>
  </si>
  <si>
    <t>#!monthly_vmat_mechanical_picket_fence_grid_offset_distance_vmat</t>
  </si>
  <si>
    <t>#!monthly_vmat_mechanical_picket_fence_grid_offset_peak_0</t>
  </si>
  <si>
    <t>#!monthly_vmat_mechanical_picket_fence_grid_offset_peak_90</t>
  </si>
  <si>
    <t>#!monthly_vmat_mechanical_picket_fence_grid_offset_peak_180</t>
  </si>
  <si>
    <t>#!monthly_vmat_mechanical_picket_fence_grid_offset_peak_270</t>
  </si>
  <si>
    <t>#!monthly_vmat_mechanical_picket_fence_grid_offset_peak_vmat</t>
  </si>
  <si>
    <t>#!monthly_vmat_mechanical_6x_dr_ga_speed</t>
  </si>
  <si>
    <t>#!monthly_vmat_mechanical_6x_dr_mlc_speed</t>
  </si>
  <si>
    <t>#!monthly_vmat_mechanical_10x_dr_ga_speed</t>
  </si>
  <si>
    <t>#!monthly_vmat_mechanical_10xfff_open_flatness_x</t>
  </si>
  <si>
    <t>#!monthly_vmat_mechanical_10xfff_open_flatness_y</t>
  </si>
  <si>
    <t>#!monthly_light_field_edge_alignment_x1</t>
  </si>
  <si>
    <t>#!monthly_light_field_edge_alignment_x2</t>
  </si>
  <si>
    <t>#!monthly_light_field_edge_alignment_y1</t>
  </si>
  <si>
    <t>#!monthly_light_field_edge_alignment_y2</t>
  </si>
  <si>
    <t>#!monthly_light_field_edge_alignment_x1_y2_jxn</t>
  </si>
  <si>
    <t>#!monthly_light_field_edge_alignment_x2_y1_jxn</t>
  </si>
  <si>
    <t>#!monthly_registration_head_cbct_vrt</t>
  </si>
  <si>
    <t>#!monthly_registration_head_cbct_lng</t>
  </si>
  <si>
    <t>#!monthly_registration_head_cbct_lat</t>
  </si>
  <si>
    <t>#!monthly_registration_thorax_cbct_vrt</t>
  </si>
  <si>
    <t>#!monthly_registration_thorax_cbct_lng</t>
  </si>
  <si>
    <t>#!monthly_registration_thorax_cbct_lat</t>
  </si>
  <si>
    <t>#!monthly_registration_kv_planar_pair_vrt</t>
  </si>
  <si>
    <t>#!monthly_registration_kv_planar_pair_lng</t>
  </si>
  <si>
    <t>#!monthly_registration_kv_planar_pair_lat</t>
  </si>
  <si>
    <t>#!monthly_registration_kv_marker_match_vrt</t>
  </si>
  <si>
    <t>#!monthly_registration_kv_marker_match_lng</t>
  </si>
  <si>
    <t>#!monthly_registration_kv_marker_match_lat</t>
  </si>
  <si>
    <t>#!monthly_registration_mv_planar_90_vrt</t>
  </si>
  <si>
    <t>#!monthly_registration_mv_planar_90_lng</t>
  </si>
  <si>
    <t>#!monthly_registration_mv_planar_0_lng</t>
  </si>
  <si>
    <t>#!monthly_registration_mv_planar_0_lat</t>
  </si>
  <si>
    <t>#!monthly_motion_management_rpm_total_patient_motion</t>
  </si>
  <si>
    <t>#!monthly_motion_management_rpm_gated_residual_motion</t>
  </si>
  <si>
    <t>#!monthly_motion_management_rpm_total_cycle_period</t>
  </si>
  <si>
    <t>#!monthly_motion_management_rpm_total_beam_on</t>
  </si>
  <si>
    <t>#!monthly_motion_management_rpm_time_delay</t>
  </si>
  <si>
    <t>#!monthly_motion_management_rpm_beam_on</t>
  </si>
  <si>
    <t>#!monthly_planar_blade_tracking_x_1</t>
  </si>
  <si>
    <t>#!monthly_planar_blade_tracking_x_2</t>
  </si>
  <si>
    <t>#!monthly_planar_blade_tracking_y_1</t>
  </si>
  <si>
    <t>#!monthly_planar_blade_tracking_y_2</t>
  </si>
  <si>
    <t>#!monthly_planar_blade_tracking_coverage</t>
  </si>
  <si>
    <t>#!monthly_planar_blade_tracking_artefacts</t>
  </si>
  <si>
    <t>#!monthly_field_size_accuracy_x1</t>
  </si>
  <si>
    <t>#!monthly_field_size_accuracy_x2</t>
  </si>
  <si>
    <t>#!monthly_field_size_accuracy_y1</t>
  </si>
  <si>
    <t>#!monthly_field_size_accuracy_y2</t>
  </si>
  <si>
    <t>#!monthly_image_quality_large_f30</t>
  </si>
  <si>
    <t>#!monthly_image_quality_large_f10</t>
  </si>
  <si>
    <t>#!monthly_image_quality_large_CNR</t>
  </si>
  <si>
    <t>#!monthly_image_quality_small_f30</t>
  </si>
  <si>
    <t>#!monthly_image_quality_small_f10</t>
  </si>
  <si>
    <t>#!monthly_image_quality_small_CNR</t>
  </si>
  <si>
    <t>#!monthly_kvp_dose_75_reading</t>
  </si>
  <si>
    <t>#!monthly_kvp_dose_75_dose</t>
  </si>
  <si>
    <t>#!monthly_kvp_dose_125_reading</t>
  </si>
  <si>
    <t>#!monthly_kvp_dose_125_dose</t>
  </si>
  <si>
    <t>#!monthly_cbct_8_1_IQ</t>
  </si>
  <si>
    <t>#!monthly_cbct_8_2_avg</t>
  </si>
  <si>
    <t>#!monthly_cbct_8_2_min</t>
  </si>
  <si>
    <t>#!monthly_cbct_8_2_max</t>
  </si>
  <si>
    <t>#!monthly_cbct_8_3_delrin</t>
  </si>
  <si>
    <t>#!monthly_cbct_8_3_air</t>
  </si>
  <si>
    <t>#!monthly_cbct_8_3_ldpe</t>
  </si>
  <si>
    <t>#!monthly_cbct_8_3_teflon</t>
  </si>
  <si>
    <t>#!monthly_cbct_8_4_mtf</t>
  </si>
  <si>
    <t>#!monthly_cbct_8_5_signal_min</t>
  </si>
  <si>
    <t>#!monthly_cbct_8_5_signal_max</t>
  </si>
  <si>
    <t>#!monthly_cbct_8_5_noise_min</t>
  </si>
  <si>
    <t>#!monthly_cbct_8_5_noise_max</t>
  </si>
  <si>
    <t>#!monthly_cbct_8_6_delrin_ldpe</t>
  </si>
  <si>
    <t>#!monthly_cbct_8_6_noise</t>
  </si>
  <si>
    <t>#!monthly_cbct_8_6_cnr</t>
  </si>
  <si>
    <t>monthly_light_coincidence_jaw_x1</t>
  </si>
  <si>
    <t>monthly_light_coincidence_jaw_x2</t>
  </si>
  <si>
    <t>monthly_light_coincidence_jaw_y1</t>
  </si>
  <si>
    <t>monthly_light_coincidence_jaw_y2</t>
  </si>
  <si>
    <t>monthly_6x_rad_coincidence_jaw_x1</t>
  </si>
  <si>
    <t>monthly_6x_rad_coincidence_jaw_x2</t>
  </si>
  <si>
    <t>monthly_6x_rad_coincidence_jaw_y1</t>
  </si>
  <si>
    <t>monthly_6x_rad_coincidence_jaw_y2</t>
  </si>
  <si>
    <t>monthly_10x_rad_coincidence_jaw_x1</t>
  </si>
  <si>
    <t>monthly_10x_rad_coincidence_jaw_x2</t>
  </si>
  <si>
    <t>monthly_10x_rad_coincidence_jaw_y1</t>
  </si>
  <si>
    <t>monthly_10x_rad_coincidence_jaw_y2</t>
  </si>
  <si>
    <t>monthly_15x_rad_coincidence_jaw_x1</t>
  </si>
  <si>
    <t>monthly_15x_rad_coincidence_jaw_x2</t>
  </si>
  <si>
    <t>monthly_15x_rad_coincidence_jaw_y1</t>
  </si>
  <si>
    <t>monthly_15x_rad_coincidence_jaw_y2</t>
  </si>
  <si>
    <t>monthly_6x_rad_coincidence_jaw_x1_result</t>
  </si>
  <si>
    <t>monthly_6x_rad_coincidence_jaw_x2_result</t>
  </si>
  <si>
    <t>monthly_6x_rad_coincidence_jaw_y1_result</t>
  </si>
  <si>
    <t>monthly_6x_rad_coincidence_jaw_y2_result</t>
  </si>
  <si>
    <t>monthly_10x_rad_coincidence_jaw_x1_result</t>
  </si>
  <si>
    <t>monthly_10x_rad_coincidence_jaw_x2_result</t>
  </si>
  <si>
    <t>monthly_10x_rad_coincidence_jaw_y1_result</t>
  </si>
  <si>
    <t>monthly_10x_rad_coincidence_jaw_y2_result</t>
  </si>
  <si>
    <t>monthly_15x_rad_coincidence_jaw_x1_result</t>
  </si>
  <si>
    <t>monthly_15x_rad_coincidence_jaw_x2_result</t>
  </si>
  <si>
    <t>monthly_15x_rad_coincidence_jaw_y1_result</t>
  </si>
  <si>
    <t>monthly_15x_rad_coincidence_jaw_y2_result</t>
  </si>
  <si>
    <t>monthly_light_coincidence_mlc_x1</t>
  </si>
  <si>
    <t>monthly_light_coincidence_mlc_x2</t>
  </si>
  <si>
    <t>monthly_light_coincidence_mlc_y1</t>
  </si>
  <si>
    <t>monthly_light_coincidence_mlc_y2</t>
  </si>
  <si>
    <t>monthly_6x_rad_coincidence_mlc_x1</t>
  </si>
  <si>
    <t>monthly_6x_rad_coincidence_mlc_x2</t>
  </si>
  <si>
    <t>monthly_6x_rad_coincidence_mlc_y1</t>
  </si>
  <si>
    <t>monthly_6x_rad_coincidence_mlc_y2</t>
  </si>
  <si>
    <t>monthly_6x_rad_coincidence_mlc_x1_result</t>
  </si>
  <si>
    <t>monthly_6x_rad_coincidence_mlc_x2_result</t>
  </si>
  <si>
    <t>monthly_6x_rad_coincidence_mlc_y1_result</t>
  </si>
  <si>
    <t>monthly_6x_rad_coincidence_mlc_y2_result</t>
  </si>
  <si>
    <t>monthly_light_field_edge_alignment_x1</t>
  </si>
  <si>
    <t>monthly_light_field_edge_alignment_x2</t>
  </si>
  <si>
    <t>monthly_light_field_edge_alignment_y1</t>
  </si>
  <si>
    <t>monthly_light_field_edge_alignment_y2</t>
  </si>
  <si>
    <t>monthly_light_field_edge_alignment_x1_y2_jxn</t>
  </si>
  <si>
    <t>monthly_light_field_edge_alignment_x2_y1_jxn</t>
  </si>
  <si>
    <t>monthly_MV_image_uniformity_x_flatness</t>
  </si>
  <si>
    <t>monthly_MV_image_uniformity_y_flatness</t>
  </si>
  <si>
    <t>monthly_MV_image_uniformity_x_symmetry</t>
  </si>
  <si>
    <t>monthly_MV_image_uniformity_y_symmetry</t>
  </si>
  <si>
    <t>monthly_MV_image_signal_roi_delta</t>
  </si>
  <si>
    <t>monthly_MV_image_noise_roi_delta</t>
  </si>
  <si>
    <t>monthly_MV_image_artefacts</t>
  </si>
  <si>
    <t>monthly_picket_fence_distance</t>
  </si>
  <si>
    <t>monthly_picket_fence_delta_peak_size</t>
  </si>
  <si>
    <t>monthly_picket_fence_individual_peak_size</t>
  </si>
  <si>
    <t>monthly_sliding_window</t>
  </si>
  <si>
    <t>monthly_friction_max_leaf_speed</t>
  </si>
  <si>
    <t>monthly_pips_pro_mv_f30</t>
  </si>
  <si>
    <t>monthly_pips_pro_mv_f10</t>
  </si>
  <si>
    <t>monthly_pips_pro_mv_CNR</t>
  </si>
  <si>
    <t>Friction @ Maximum Leaf Speed</t>
  </si>
  <si>
    <t>monthly_vmat_mechanical_picket_fence_grid_offset_x_0</t>
  </si>
  <si>
    <t>monthly_vmat_mechanical_picket_fence_grid_offset_x_90</t>
  </si>
  <si>
    <t>monthly_vmat_mechanical_picket_fence_grid_offset_x_180</t>
  </si>
  <si>
    <t>monthly_vmat_mechanical_picket_fence_grid_offset_x_270</t>
  </si>
  <si>
    <t>monthly_vmat_mechanical_picket_fence_grid_offset_x_vmat</t>
  </si>
  <si>
    <t>monthly_vmat_mechanical_picket_fence_grid_offset_y_0</t>
  </si>
  <si>
    <t>monthly_vmat_mechanical_picket_fence_grid_offset_y_90</t>
  </si>
  <si>
    <t>monthly_vmat_mechanical_picket_fence_grid_offset_y_180</t>
  </si>
  <si>
    <t>monthly_vmat_mechanical_picket_fence_grid_offset_y_270</t>
  </si>
  <si>
    <t>monthly_vmat_mechanical_picket_fence_grid_offset_y_vmat</t>
  </si>
  <si>
    <t>monthly_vmat_mechanical_picket_fence_grid_offset_distance_0</t>
  </si>
  <si>
    <t>monthly_vmat_mechanical_picket_fence_grid_offset_distance_90</t>
  </si>
  <si>
    <t>monthly_vmat_mechanical_picket_fence_grid_offset_distance_180</t>
  </si>
  <si>
    <t>monthly_vmat_mechanical_picket_fence_grid_offset_distance_270</t>
  </si>
  <si>
    <t>monthly_vmat_mechanical_picket_fence_grid_offset_distance_vmat</t>
  </si>
  <si>
    <t>monthly_vmat_mechanical_picket_fence_grid_offset_peak_0</t>
  </si>
  <si>
    <t>monthly_vmat_mechanical_picket_fence_grid_offset_peak_90</t>
  </si>
  <si>
    <t>monthly_vmat_mechanical_picket_fence_grid_offset_peak_180</t>
  </si>
  <si>
    <t>monthly_vmat_mechanical_picket_fence_grid_offset_peak_270</t>
  </si>
  <si>
    <t>monthly_vmat_mechanical_picket_fence_grid_offset_peak_vmat</t>
  </si>
  <si>
    <t>monthly_vmat_mechanical_6x_dr_ga_speed</t>
  </si>
  <si>
    <t>monthly_vmat_mechanical_6x_dr_mlc_speed</t>
  </si>
  <si>
    <t>monthly_vmat_mechanical_10x_dr_ga_speed</t>
  </si>
  <si>
    <t>monthly_vmat_mechanical_10xfff_open_flatness_x</t>
  </si>
  <si>
    <t>monthly_vmat_mechanical_10xfff_open_flatness_y</t>
  </si>
  <si>
    <t>monthly_registration_head_cbct_vrt</t>
  </si>
  <si>
    <t>monthly_registration_head_cbct_lng</t>
  </si>
  <si>
    <t>monthly_registration_head_cbct_lat</t>
  </si>
  <si>
    <t>monthly_registration_thorax_cbct_vrt</t>
  </si>
  <si>
    <t>monthly_registration_thorax_cbct_lng</t>
  </si>
  <si>
    <t>monthly_registration_thorax_cbct_lat</t>
  </si>
  <si>
    <t>monthly_registration_kv_planar_pair_vrt</t>
  </si>
  <si>
    <t>monthly_registration_kv_planar_pair_lng</t>
  </si>
  <si>
    <t>monthly_registration_kv_planar_pair_lat</t>
  </si>
  <si>
    <t>monthly_registration_kv_marker_match_vrt</t>
  </si>
  <si>
    <t>monthly_registration_kv_marker_match_lng</t>
  </si>
  <si>
    <t>monthly_registration_kv_marker_match_lat</t>
  </si>
  <si>
    <t>monthly_registration_mv_planar_90_vrt</t>
  </si>
  <si>
    <t>monthly_registration_mv_planar_90_lng</t>
  </si>
  <si>
    <t>monthly_registration_mv_planar_0_lng</t>
  </si>
  <si>
    <t>monthly_registration_mv_planar_0_lat</t>
  </si>
  <si>
    <t>monthly_motion_management_rpm_total_patient_motion</t>
  </si>
  <si>
    <t>monthly_motion_management_rpm_gated_residual_motion</t>
  </si>
  <si>
    <t>monthly_motion_management_rpm_total_cycle_period</t>
  </si>
  <si>
    <t>monthly_motion_management_rpm_total_beam_on</t>
  </si>
  <si>
    <t>monthly_motion_management_rpm_time_delay</t>
  </si>
  <si>
    <t>monthly_motion_management_rpm_beam_on</t>
  </si>
  <si>
    <t>monthly_planar_blade_tracking_x_1</t>
  </si>
  <si>
    <t>monthly_planar_blade_tracking_x_2</t>
  </si>
  <si>
    <t>monthly_planar_blade_tracking_y_1</t>
  </si>
  <si>
    <t>monthly_planar_blade_tracking_y_2</t>
  </si>
  <si>
    <t>monthly_planar_blade_tracking_coverage</t>
  </si>
  <si>
    <t>monthly_planar_blade_tracking_artefacts</t>
  </si>
  <si>
    <t>YES,NO</t>
  </si>
  <si>
    <t>monthly_field_size_accuracy_x1</t>
  </si>
  <si>
    <t>monthly_field_size_accuracy_x2</t>
  </si>
  <si>
    <t>monthly_field_size_accuracy_y1</t>
  </si>
  <si>
    <t>monthly_field_size_accuracy_y2</t>
  </si>
  <si>
    <t>monthly_image_quality_large_f30</t>
  </si>
  <si>
    <t>monthly_image_quality_large_f10</t>
  </si>
  <si>
    <t>monthly_image_quality_large_CNR</t>
  </si>
  <si>
    <t>monthly_image_quality_small_f30</t>
  </si>
  <si>
    <t>monthly_image_quality_small_f10</t>
  </si>
  <si>
    <t>monthly_image_quality_small_CNR</t>
  </si>
  <si>
    <t>monthly_kvp_dose_75_reading</t>
  </si>
  <si>
    <t>monthly_kvp_dose_75_dose</t>
  </si>
  <si>
    <t>monthly_kvp_dose_125_reading</t>
  </si>
  <si>
    <t>monthly_kvp_dose_125_dose</t>
  </si>
  <si>
    <t>monthly_cbct_8_1_IQ</t>
  </si>
  <si>
    <t>monthly_cbct_8_2_avg</t>
  </si>
  <si>
    <t>monthly_cbct_8_2_min</t>
  </si>
  <si>
    <t>monthly_cbct_8_2_max</t>
  </si>
  <si>
    <t>monthly_cbct_8_3_delrin</t>
  </si>
  <si>
    <t>monthly_cbct_8_3_air</t>
  </si>
  <si>
    <t>monthly_cbct_8_3_ldpe</t>
  </si>
  <si>
    <t>monthly_cbct_8_3_teflon</t>
  </si>
  <si>
    <t>monthly_cbct_8_4_mtf</t>
  </si>
  <si>
    <t>monthly_cbct_8_5_signal_min</t>
  </si>
  <si>
    <t>monthly_cbct_8_5_signal_max</t>
  </si>
  <si>
    <t>monthly_cbct_8_5_noise_min</t>
  </si>
  <si>
    <t>monthly_cbct_8_5_noise_max</t>
  </si>
  <si>
    <t>monthly_cbct_8_6_delrin_ldpe</t>
  </si>
  <si>
    <t>monthly_cbct_8_6_noise</t>
  </si>
  <si>
    <t>monthly_cbct_8_6_cnr</t>
  </si>
  <si>
    <t>6x Rdg 1 (nC)</t>
  </si>
  <si>
    <t>6x Rdg 2 (nC)</t>
  </si>
  <si>
    <t>6x Rdg 3 (nC)</t>
  </si>
  <si>
    <t>10x Rdg 1 (nC)</t>
  </si>
  <si>
    <t>10x Rdg 2 (nC)</t>
  </si>
  <si>
    <t>10x Rdg 3 (nC)</t>
  </si>
  <si>
    <t>10fff Rdg 1 (nC)</t>
  </si>
  <si>
    <t>10fff Rdg 2 (nC)</t>
  </si>
  <si>
    <t>10fff Rdg 3 (nC)</t>
  </si>
  <si>
    <t>15x Rdg 1 (nC)</t>
  </si>
  <si>
    <t>15x Rdg 2 (nC)</t>
  </si>
  <si>
    <t>15x Rdg 3 (nC)</t>
  </si>
  <si>
    <t>6x Dose (cGy)</t>
  </si>
  <si>
    <t>10x Dose (cGy)</t>
  </si>
  <si>
    <t>10fff Dose (cGy)</t>
  </si>
  <si>
    <t>15x Dose (cGy)</t>
  </si>
  <si>
    <t>6x Rdg 60IN (nC)</t>
  </si>
  <si>
    <t>6x Rdg 60OUT (nC)</t>
  </si>
  <si>
    <t>10x Rdg 60IN (nC)</t>
  </si>
  <si>
    <t>10x Rdg 60OUT (nC)</t>
  </si>
  <si>
    <t>15x Rdg 60IN (nC)</t>
  </si>
  <si>
    <t>15x Rdg 60OUT (nC)</t>
  </si>
  <si>
    <t>6x EDWf</t>
  </si>
  <si>
    <t>10x EDWf</t>
  </si>
  <si>
    <t>15x EDWf</t>
  </si>
  <si>
    <t>6x - 5mm - Rdg1 (nC)</t>
  </si>
  <si>
    <t>6x - 5mm - Rdg2 (nC)</t>
  </si>
  <si>
    <t>6x - 5mm interrupt - Rdg1 (nC)</t>
  </si>
  <si>
    <t>6x - 5mm interrupt - Rdg2 (nC)</t>
  </si>
  <si>
    <t>6x - Beam Hold - Rdg1 (nC)</t>
  </si>
  <si>
    <t>6x - Beam Hold - Rdg2 (nC)</t>
  </si>
  <si>
    <t>6x - Prostate - Rdg1 (nC)</t>
  </si>
  <si>
    <t>6x - Prostate - Rdg2 (nC)</t>
  </si>
  <si>
    <t>6x - H&amp;N (Hi Mod) - Rdg1 (nC)</t>
  </si>
  <si>
    <t>6x - H&amp;N (Hi Mod) - Rdg2 (nC)</t>
  </si>
  <si>
    <t>6x - 5mm Ratio</t>
  </si>
  <si>
    <t>6x - 5mm interrupt Ratio</t>
  </si>
  <si>
    <t>6x - Beam Hold Ratio</t>
  </si>
  <si>
    <t>6x - Prostate Ratio</t>
  </si>
  <si>
    <t>6x - H&amp;N (Hi Mod) Ratio</t>
  </si>
  <si>
    <t>6x Rdg1 - CCW (nC)</t>
  </si>
  <si>
    <t>6x Rdg2 - CW (nC)</t>
  </si>
  <si>
    <t>6x Ratio</t>
  </si>
  <si>
    <t>6x - Rdg1 @ dmax (nC)</t>
  </si>
  <si>
    <t>6x - Rdg2 @ dmax (nC)</t>
  </si>
  <si>
    <t>10x - Rdg1 @ dmax (nC)</t>
  </si>
  <si>
    <t>10x - Rdg2 @ dmax (nC)</t>
  </si>
  <si>
    <t>10fff - Rdg1 @ dmax (nC)</t>
  </si>
  <si>
    <t>10fff - Rdg2 @ dmax (nC)</t>
  </si>
  <si>
    <t>15x - Rdg1 @ dmax (nC)</t>
  </si>
  <si>
    <t>15x - Rdg2 @ dmax (nC)</t>
  </si>
  <si>
    <t>6x - TMR(10)</t>
  </si>
  <si>
    <t>10x - TMR(10)</t>
  </si>
  <si>
    <t>10fff - TMR(10)</t>
  </si>
  <si>
    <t>15x - TMR(10)</t>
  </si>
  <si>
    <t>Head - Full Fan - Half Trajectory - Rdg (nC)</t>
  </si>
  <si>
    <t>Spotlight - Full Fan - Half Trajectory - Rdg (nC)</t>
  </si>
  <si>
    <t>Thorax - Half Fan - Full Trajectory - Rdg (nC)</t>
  </si>
  <si>
    <t>Pelvis Obese - Half Fan - Full Trajectory - Rdg (nC)</t>
  </si>
  <si>
    <t>Head - Full Fan - Half Trajectory - Rdg Corrected (nC)</t>
  </si>
  <si>
    <t>Spotlight - Full Fan - Half Trajectory - Rdg Corrected (nC)</t>
  </si>
  <si>
    <t>Thorax - Half Fan - Full Trajectory - Rdg Corrected (nC)</t>
  </si>
  <si>
    <t>Pelvis Obese - Half Fan - Full Trajectory - Rdg Corrected (nC)</t>
  </si>
  <si>
    <t>6E Rdg1 (nC)</t>
  </si>
  <si>
    <t>6E Rdg2 (nC)</t>
  </si>
  <si>
    <t>6E Rdg3 (nC)</t>
  </si>
  <si>
    <t>9E Rdg1 (nC)</t>
  </si>
  <si>
    <t>9E Rdg2 (nC)</t>
  </si>
  <si>
    <t>9E Rdg3 (nC)</t>
  </si>
  <si>
    <t>12E Rdg1 (nC)</t>
  </si>
  <si>
    <t>12E Rdg2 (nC)</t>
  </si>
  <si>
    <t>12E Rdg3 (nC)</t>
  </si>
  <si>
    <t>16E Rdg1 (nC)</t>
  </si>
  <si>
    <t>16E Rdg2 (nC)</t>
  </si>
  <si>
    <t>16E Rdg3 (nC)</t>
  </si>
  <si>
    <t>20E Rdg1 (nC)</t>
  </si>
  <si>
    <t>20E Rdg2 (nC)</t>
  </si>
  <si>
    <t>20E Rdg3 (nC)</t>
  </si>
  <si>
    <t>6E Dose (cGy)</t>
  </si>
  <si>
    <t>9E Dose (cGy)</t>
  </si>
  <si>
    <t>12E Dose (cGy)</t>
  </si>
  <si>
    <t>16E Dose (cGy)</t>
  </si>
  <si>
    <t>20E Dose (cGy)</t>
  </si>
  <si>
    <t>Light-Dig - ΔX1 (mm)</t>
  </si>
  <si>
    <t>Light-Dig - ΔX2 (mm)</t>
  </si>
  <si>
    <t>Light-Dig - ΔY1 (mm)</t>
  </si>
  <si>
    <t>Light-Dig - ΔY2 (mm)</t>
  </si>
  <si>
    <t>6x Rad-Dig - ΔX1 (mm)</t>
  </si>
  <si>
    <t>6x Rad-Dig - ΔX2 (mm)</t>
  </si>
  <si>
    <t>6x Rad-Dig - ΔY1 (mm)</t>
  </si>
  <si>
    <t>6x Rad-Dig - ΔY2 (mm)</t>
  </si>
  <si>
    <t>10x Rad-Dig - ΔX1 (mm)</t>
  </si>
  <si>
    <t>10x Rad-Dig - ΔX2 (mm)</t>
  </si>
  <si>
    <t>10x Rad-Dig - ΔY1 (mm)</t>
  </si>
  <si>
    <t>10x Rad-Dig - ΔY2 (mm)</t>
  </si>
  <si>
    <t>15x Rad-Dig - ΔX1 (mm)</t>
  </si>
  <si>
    <t>15x Rad-Dig - ΔX2 (mm)</t>
  </si>
  <si>
    <t>15x Rad-Dig - ΔY1 (mm)</t>
  </si>
  <si>
    <t>15x Rad-Dig - ΔY2 (mm)</t>
  </si>
  <si>
    <t>ΔX1 (mm)</t>
  </si>
  <si>
    <t>ΔX2 (mm)</t>
  </si>
  <si>
    <t>ΔY1 (mm)</t>
  </si>
  <si>
    <t>ΔY2 (mm)</t>
  </si>
  <si>
    <t>Light-Dig - ΔX (mm)</t>
  </si>
  <si>
    <t>6X - X1 (mm)</t>
  </si>
  <si>
    <t>6X - X2 (mm)</t>
  </si>
  <si>
    <t>6X - Y1 (mm)</t>
  </si>
  <si>
    <t>6X - Y2 (mm)</t>
  </si>
  <si>
    <t>6X - X1/Y2 Jxn (%)</t>
  </si>
  <si>
    <t>6X - X2/Y1 Jxn (%)</t>
  </si>
  <si>
    <t>X-Flatness (%)</t>
  </si>
  <si>
    <t>Y-Flatness (%)</t>
  </si>
  <si>
    <t>X-Symmetry (%)</t>
  </si>
  <si>
    <t>Y-Symmetry (%)</t>
  </si>
  <si>
    <t>Signal - ROI Δmax (%)</t>
  </si>
  <si>
    <t>Noise - ROI Δmax (%)</t>
  </si>
  <si>
    <t>Distance (cm)</t>
  </si>
  <si>
    <t>ΔPeak Size (%)</t>
  </si>
  <si>
    <t>Individual Peak</t>
  </si>
  <si>
    <t>5mm Sliding Window</t>
  </si>
  <si>
    <t>PipsPro MV - f30 (lp/mm)</t>
  </si>
  <si>
    <t>PipsPro MV - f10 (lp/mm)</t>
  </si>
  <si>
    <t>PipsPro MV - CNR</t>
  </si>
  <si>
    <t>GA: 0 - Grid Offset X (mm)</t>
  </si>
  <si>
    <t>GA: 90 - Grid Offset X (mm)</t>
  </si>
  <si>
    <t>GA: 180 - Grid Offset X (mm)</t>
  </si>
  <si>
    <t>GA: 270 - Grid Offset X (mm)</t>
  </si>
  <si>
    <t>VMAT - Grid Offset X (mm)</t>
  </si>
  <si>
    <t>GA: 0 - Grid Offset Y (mm)</t>
  </si>
  <si>
    <t>GA: 90 - Grid Offset Y (mm)</t>
  </si>
  <si>
    <t>GA: 180 - Grid Offset Y (mm)</t>
  </si>
  <si>
    <t>GA: 270 - Grid Offset Y (mm)</t>
  </si>
  <si>
    <t>VMAT - Grid Offset Y (mm)</t>
  </si>
  <si>
    <t>GA: 0 - Junction Distance (mm)</t>
  </si>
  <si>
    <t>GA: 90 - Junction Distance (mm)</t>
  </si>
  <si>
    <t>GA: 180 - Junction Distance (mm)</t>
  </si>
  <si>
    <t>GA: 270 - Junction Distance (mm)</t>
  </si>
  <si>
    <t>VMAT - Junction Distance (mm)</t>
  </si>
  <si>
    <t>GA: 0 - Junction Peaks</t>
  </si>
  <si>
    <t>GA: 90 - Junction Peaks</t>
  </si>
  <si>
    <t>GA: 180 - Junction Peaks</t>
  </si>
  <si>
    <t>GA: 270 - Junction Peaks</t>
  </si>
  <si>
    <t>VMAT - Junction Peaks</t>
  </si>
  <si>
    <t>VMAT 6X DR/GA Speed</t>
  </si>
  <si>
    <t>VMAT 6X DR/MLC Speed</t>
  </si>
  <si>
    <t>VMAT 10Xfff DR/GA Speed</t>
  </si>
  <si>
    <t>10XFFF Open Field Flatness - X (%)</t>
  </si>
  <si>
    <t>10XFFF Open Field Flatness - Y (%)</t>
  </si>
  <si>
    <t>Head CBCT - VRT (cm)</t>
  </si>
  <si>
    <t>Head CBCT - LNG (cm)</t>
  </si>
  <si>
    <t>Head CBCT - LAT (cm)</t>
  </si>
  <si>
    <t>Thorax CBCT - VRT (cm)</t>
  </si>
  <si>
    <t>Thorax CBCT - LNG (cm)</t>
  </si>
  <si>
    <t>Thorax CBCT - LAT (cm)</t>
  </si>
  <si>
    <t>KV Planar Pair - VRT (cm)</t>
  </si>
  <si>
    <t>KV Planar Pair - LNG (cm)</t>
  </si>
  <si>
    <t>KV Planar Pair - LAT (cm)</t>
  </si>
  <si>
    <t>KV Marker Match - VRT (cm)</t>
  </si>
  <si>
    <t>KV Marker Match - LNG (cm)</t>
  </si>
  <si>
    <t>KV Marker Match - LAT (cm)</t>
  </si>
  <si>
    <t>MV Planar GA 90° - VRT (cm)</t>
  </si>
  <si>
    <t>MV Planar GA 90° - LNG (cm)</t>
  </si>
  <si>
    <t>MV Planar GA 0° - LNG (cm)</t>
  </si>
  <si>
    <t>Total Patient Motion (cm)</t>
  </si>
  <si>
    <t>Gated Residual Motion (cm)</t>
  </si>
  <si>
    <t>Total Cycle Period (s)</t>
  </si>
  <si>
    <t>Total Beam On Time (min)</t>
  </si>
  <si>
    <t>Time Delay</t>
  </si>
  <si>
    <t>Beam On</t>
  </si>
  <si>
    <t>Rad-Dig - ΔX1 (mm)</t>
  </si>
  <si>
    <t>Rad-Dig - ΔX2 (mm)</t>
  </si>
  <si>
    <t>Rad-Dig - ΔY1 (mm)</t>
  </si>
  <si>
    <t>Rad-Dig - ΔY2 (mm)</t>
  </si>
  <si>
    <t>Large Focal Spot - f30 (lp/mm)</t>
  </si>
  <si>
    <t>Large Focal Spot - f10 (lp/mm)</t>
  </si>
  <si>
    <t>Large Focal Spot - CNR</t>
  </si>
  <si>
    <t>Small Focal Spot - Titanium Filter - f30 (lp/mm)</t>
  </si>
  <si>
    <t>Small Focal Spot - Titanium Filter - f10 (lp/mm)</t>
  </si>
  <si>
    <t>Small Focal Spot - Titanium Filter - CNR</t>
  </si>
  <si>
    <t>75 kVp - Reading</t>
  </si>
  <si>
    <t>75 kVp - Dose</t>
  </si>
  <si>
    <t>125 kVp - Reading</t>
  </si>
  <si>
    <t>125 kVp - Dose</t>
  </si>
  <si>
    <t>kv CBCT Image Quality (Overall)</t>
  </si>
  <si>
    <t>Geometry - avg Slice Width (mm)</t>
  </si>
  <si>
    <t>Geometry - min Distance (mm)</t>
  </si>
  <si>
    <t>Geometry - max Distance (mm)</t>
  </si>
  <si>
    <t>CT Number Accuracy - Delrin CT#</t>
  </si>
  <si>
    <t>CT Number Accuracy - Air CT#</t>
  </si>
  <si>
    <t>CT Number Accuracy - LDPE CT#</t>
  </si>
  <si>
    <t>CT Number Accuracy - Teflon CT#</t>
  </si>
  <si>
    <t>High Contrast Resolution (rel. MTF)</t>
  </si>
  <si>
    <t>Uniformity - min Signal (CT#) in 5 Regions</t>
  </si>
  <si>
    <t>Uniformity - max Signal (CT#) in 5 Regions</t>
  </si>
  <si>
    <t>Uniformity - min Noise (SD) in 5 Regions</t>
  </si>
  <si>
    <t>Uniformity - max Noise (SD) in 5 Regions</t>
  </si>
  <si>
    <t>CNR - Delrin-LDPE</t>
  </si>
  <si>
    <t>CNR - Noise (SD)</t>
  </si>
  <si>
    <t>CNR - CNR</t>
  </si>
  <si>
    <t>kVp, mAs: 75, 0.5</t>
  </si>
  <si>
    <t>kVp, mAs: 60, 0.5. Large Focal Spot, no filter</t>
  </si>
  <si>
    <t>kVp, mAs: 60, 1.0, Small Focal Spot - Titanium Filter</t>
  </si>
  <si>
    <t>kVp, mAs: 125, 0.5</t>
  </si>
  <si>
    <t>kVp, mAs: 60, 0.5.</t>
  </si>
  <si>
    <t>Fan Type: Full; Trajectory: Full; kVp, mAs: 100, 1035</t>
  </si>
  <si>
    <t>#!monthly_cbct_8_5_signal_delta</t>
  </si>
  <si>
    <t>#!monthly_cbct_8_5_noise_delta</t>
  </si>
  <si>
    <t>Uniformity - ΔSignal (HU)</t>
  </si>
  <si>
    <t xml:space="preserve">Uniformity - ΔNoise (SD) </t>
  </si>
  <si>
    <t>monthly_cbct_8_5_signal_delta</t>
  </si>
  <si>
    <t>monthly_cbct_8_5_noise_delta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</si>
</sst>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3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0" fontId="5" fillId="3" borderId="0" xfId="0" applyFont="1" applyFill="1" applyAlignment="1">
      <alignment horizontal="right"/>
    </xf>
    <xf numFmtId="164" fontId="3" fillId="3" borderId="9" xfId="0" applyNumberFormat="1" applyFont="1" applyFill="1" applyBorder="1" applyAlignment="1" applyProtection="1">
      <alignment horizontal="center"/>
    </xf>
    <xf numFmtId="0" fontId="0" fillId="3" borderId="0" xfId="0" applyFill="1"/>
    <xf numFmtId="0" fontId="3" fillId="3" borderId="0" xfId="0" applyFont="1" applyFill="1" applyAlignment="1">
      <alignment horizontal="right"/>
    </xf>
    <xf numFmtId="0" fontId="3" fillId="3" borderId="9" xfId="0" applyFont="1" applyFill="1" applyBorder="1" applyAlignment="1" applyProtection="1">
      <alignment horizontal="center" shrinkToFit="1"/>
      <protection locked="0"/>
    </xf>
    <xf numFmtId="164" fontId="3" fillId="3" borderId="9" xfId="0" applyNumberFormat="1" applyFont="1" applyFill="1" applyBorder="1" applyAlignment="1">
      <alignment horizontal="center"/>
    </xf>
    <xf numFmtId="0" fontId="35" fillId="3" borderId="0" xfId="0" applyFont="1" applyFill="1"/>
    <xf numFmtId="2" fontId="3" fillId="3" borderId="12" xfId="0" applyNumberFormat="1" applyFont="1" applyFill="1" applyBorder="1" applyAlignment="1" applyProtection="1">
      <alignment horizontal="center"/>
      <protection locked="0"/>
    </xf>
    <xf numFmtId="164" fontId="3" fillId="3" borderId="12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Alignment="1">
      <alignment horizontal="center"/>
    </xf>
    <xf numFmtId="2" fontId="3" fillId="3" borderId="0" xfId="0" applyNumberFormat="1" applyFont="1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/>
    <xf numFmtId="0" fontId="0" fillId="4" borderId="0" xfId="0" applyFill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88"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34</xdr:row>
      <xdr:rowOff>0</xdr:rowOff>
    </xdr:from>
    <xdr:to>
      <xdr:col>15</xdr:col>
      <xdr:colOff>2200275</xdr:colOff>
      <xdr:row>34</xdr:row>
      <xdr:rowOff>0</xdr:rowOff>
    </xdr:to>
    <xdr:grpSp>
      <xdr:nvGrpSpPr>
        <xdr:cNvPr id="2" name="Group 703"/>
        <xdr:cNvGrpSpPr>
          <a:grpSpLocks noChangeAspect="1"/>
        </xdr:cNvGrpSpPr>
      </xdr:nvGrpSpPr>
      <xdr:grpSpPr bwMode="auto">
        <a:xfrm>
          <a:off x="10648950" y="4953000"/>
          <a:ext cx="1885950" cy="0"/>
          <a:chOff x="2426" y="4997"/>
          <a:chExt cx="2426" cy="3401"/>
        </a:xfrm>
      </xdr:grpSpPr>
      <xdr:sp macro="" textlink="">
        <xdr:nvSpPr>
          <xdr:cNvPr id="3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5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6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7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8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10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1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12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13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16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7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19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14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15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21505" name="cmdClea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21506" name="cmdPrint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8</xdr:col>
          <xdr:colOff>1104900</xdr:colOff>
          <xdr:row>7</xdr:row>
          <xdr:rowOff>57150</xdr:rowOff>
        </xdr:to>
        <xdr:sp macro="" textlink="">
          <xdr:nvSpPr>
            <xdr:cNvPr id="21507" name="cmdOPTrend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21508" name="cmdSave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21509" name="lbl_Audit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21510" name="lbl_Xray_Outputs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21511" name="lbl_Electron_Outputs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21512" name="lbl_MVD_Measurements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21513" name="lbl_Registration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21514" name="lbl_Motion_Management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21515" name="lbl_KV_Planar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21516" name="lbl_CBCT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33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34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5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FIR_TB1_JUN_2023_PRA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>
        <row r="12">
          <cell r="M12">
            <v>2023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4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3.emf"/><Relationship Id="rId20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9.xml"/><Relationship Id="rId23" Type="http://schemas.openxmlformats.org/officeDocument/2006/relationships/comments" Target="../comments1.xml"/><Relationship Id="rId10" Type="http://schemas.openxmlformats.org/officeDocument/2006/relationships/image" Target="../media/image2.emf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Relationship Id="rId22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.emf"/><Relationship Id="rId18" Type="http://schemas.openxmlformats.org/officeDocument/2006/relationships/control" Target="../activeX/activeX21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4.xml"/><Relationship Id="rId7" Type="http://schemas.openxmlformats.org/officeDocument/2006/relationships/image" Target="../media/image11.emf"/><Relationship Id="rId12" Type="http://schemas.openxmlformats.org/officeDocument/2006/relationships/control" Target="../activeX/activeX17.xml"/><Relationship Id="rId17" Type="http://schemas.openxmlformats.org/officeDocument/2006/relationships/control" Target="../activeX/activeX20.xml"/><Relationship Id="rId2" Type="http://schemas.openxmlformats.org/officeDocument/2006/relationships/drawing" Target="../drawings/drawing2.xml"/><Relationship Id="rId16" Type="http://schemas.openxmlformats.org/officeDocument/2006/relationships/image" Target="../media/image1.emf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control" Target="../activeX/activeX19.xml"/><Relationship Id="rId10" Type="http://schemas.openxmlformats.org/officeDocument/2006/relationships/control" Target="../activeX/activeX16.xml"/><Relationship Id="rId19" Type="http://schemas.openxmlformats.org/officeDocument/2006/relationships/control" Target="../activeX/activeX22.xml"/><Relationship Id="rId4" Type="http://schemas.openxmlformats.org/officeDocument/2006/relationships/control" Target="../activeX/activeX13.xml"/><Relationship Id="rId9" Type="http://schemas.openxmlformats.org/officeDocument/2006/relationships/image" Target="../media/image12.emf"/><Relationship Id="rId14" Type="http://schemas.openxmlformats.org/officeDocument/2006/relationships/control" Target="../activeX/activeX18.xml"/><Relationship Id="rId2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opLeftCell="A345" zoomScaleNormal="100" workbookViewId="0">
      <selection activeCell="G372" sqref="G372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27" t="s">
        <v>127</v>
      </c>
      <c r="I12" s="328"/>
      <c r="J12" s="329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9" t="s">
        <v>22</v>
      </c>
      <c r="G15" s="340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30" t="s">
        <v>534</v>
      </c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228"/>
      <c r="O17" s="4"/>
    </row>
    <row r="18" spans="2:15" x14ac:dyDescent="0.2">
      <c r="B18" s="227"/>
      <c r="C18" s="333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228"/>
      <c r="O18" s="4"/>
    </row>
    <row r="19" spans="2:15" x14ac:dyDescent="0.2">
      <c r="B19" s="227"/>
      <c r="C19" s="336"/>
      <c r="D19" s="337"/>
      <c r="E19" s="337"/>
      <c r="F19" s="337"/>
      <c r="G19" s="337"/>
      <c r="H19" s="337"/>
      <c r="I19" s="337"/>
      <c r="J19" s="337"/>
      <c r="K19" s="337"/>
      <c r="L19" s="337"/>
      <c r="M19" s="33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41" t="s">
        <v>17</v>
      </c>
      <c r="G21" s="342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1" t="s">
        <v>17</v>
      </c>
      <c r="L24" s="321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18"/>
      <c r="K27" s="319"/>
      <c r="L27" s="319"/>
      <c r="M27" s="32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18"/>
      <c r="K28" s="319"/>
      <c r="L28" s="319"/>
      <c r="M28" s="32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18"/>
      <c r="K29" s="319"/>
      <c r="L29" s="319"/>
      <c r="M29" s="32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18"/>
      <c r="K30" s="319"/>
      <c r="L30" s="319"/>
      <c r="M30" s="32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18" t="s">
        <v>535</v>
      </c>
      <c r="K31" s="319"/>
      <c r="L31" s="319"/>
      <c r="M31" s="32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1" t="s">
        <v>528</v>
      </c>
      <c r="L33" s="321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1" t="s">
        <v>528</v>
      </c>
      <c r="L103" s="321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1" t="s">
        <v>528</v>
      </c>
      <c r="L122" s="321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>IF(OR(C132="",E132="",F132="",G132="",H132=""),"",IF(AND(ABS(E132)&lt;=I132,ABS(F132)&lt;=I132,ABS(G132)&lt;=I132,ABS(H132)&lt;=I132),"PASS","FAIL"))</f>
        <v>PASS</v>
      </c>
      <c r="K132" s="90" t="s">
        <v>170</v>
      </c>
      <c r="L132" s="1"/>
      <c r="M132" s="7"/>
      <c r="N132" s="228"/>
    </row>
    <row r="133" spans="2:14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x14ac:dyDescent="0.2">
      <c r="B173" s="227"/>
      <c r="C173" s="7" t="s">
        <v>93</v>
      </c>
      <c r="D173" s="7"/>
      <c r="E173" s="7"/>
      <c r="F173" s="312"/>
      <c r="G173" s="313"/>
      <c r="H173" s="313"/>
      <c r="I173" s="313"/>
      <c r="J173" s="313"/>
      <c r="K173" s="313"/>
      <c r="L173" s="314"/>
      <c r="M173" s="7"/>
      <c r="N173" s="228"/>
      <c r="P173" s="96"/>
    </row>
    <row r="174" spans="2:16" x14ac:dyDescent="0.2">
      <c r="B174" s="227"/>
      <c r="C174" s="7"/>
      <c r="D174" s="7"/>
      <c r="E174" s="7"/>
      <c r="F174" s="315"/>
      <c r="G174" s="316"/>
      <c r="H174" s="316"/>
      <c r="I174" s="316"/>
      <c r="J174" s="316"/>
      <c r="K174" s="316"/>
      <c r="L174" s="317"/>
      <c r="M174" s="7"/>
      <c r="N174" s="228"/>
    </row>
    <row r="175" spans="2:16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x14ac:dyDescent="0.2">
      <c r="B188" s="227"/>
      <c r="C188" s="7" t="s">
        <v>97</v>
      </c>
      <c r="D188" s="312"/>
      <c r="E188" s="313"/>
      <c r="F188" s="313"/>
      <c r="G188" s="313"/>
      <c r="H188" s="313"/>
      <c r="I188" s="313"/>
      <c r="J188" s="313"/>
      <c r="K188" s="313"/>
      <c r="L188" s="314"/>
      <c r="M188" s="7"/>
      <c r="N188" s="228"/>
    </row>
    <row r="189" spans="2:14" x14ac:dyDescent="0.2">
      <c r="B189" s="227"/>
      <c r="C189" s="7"/>
      <c r="D189" s="315"/>
      <c r="E189" s="316"/>
      <c r="F189" s="316"/>
      <c r="G189" s="316"/>
      <c r="H189" s="316"/>
      <c r="I189" s="316"/>
      <c r="J189" s="316"/>
      <c r="K189" s="316"/>
      <c r="L189" s="317"/>
      <c r="M189" s="7"/>
      <c r="N189" s="228"/>
    </row>
    <row r="190" spans="2:14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02" t="s">
        <v>530</v>
      </c>
      <c r="M213" s="303"/>
      <c r="N213" s="228"/>
    </row>
    <row r="214" spans="2:17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02" t="s">
        <v>529</v>
      </c>
      <c r="M214" s="303"/>
      <c r="N214" s="228"/>
    </row>
    <row r="215" spans="2:17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x14ac:dyDescent="0.2">
      <c r="B237" s="230"/>
      <c r="C237" s="118" t="s">
        <v>97</v>
      </c>
      <c r="D237" s="312"/>
      <c r="E237" s="313"/>
      <c r="F237" s="313"/>
      <c r="G237" s="313"/>
      <c r="H237" s="313"/>
      <c r="I237" s="313"/>
      <c r="J237" s="313"/>
      <c r="K237" s="313"/>
      <c r="L237" s="314"/>
      <c r="M237" s="80"/>
      <c r="N237" s="228"/>
      <c r="O237" s="4"/>
    </row>
    <row r="238" spans="2:15" x14ac:dyDescent="0.2">
      <c r="B238" s="230"/>
      <c r="C238" s="118"/>
      <c r="D238" s="315"/>
      <c r="E238" s="316"/>
      <c r="F238" s="316"/>
      <c r="G238" s="316"/>
      <c r="H238" s="316"/>
      <c r="I238" s="316"/>
      <c r="J238" s="316"/>
      <c r="K238" s="316"/>
      <c r="L238" s="317"/>
      <c r="M238" s="80"/>
      <c r="N238" s="228"/>
      <c r="O238" s="4"/>
    </row>
    <row r="239" spans="2:15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1" t="s">
        <v>528</v>
      </c>
      <c r="L240" s="321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1" t="s">
        <v>528</v>
      </c>
      <c r="L273" s="321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x14ac:dyDescent="0.2">
      <c r="B290" s="227"/>
      <c r="C290" s="79"/>
      <c r="D290" s="16" t="s">
        <v>97</v>
      </c>
      <c r="E290" s="318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x14ac:dyDescent="0.2">
      <c r="B291" s="227"/>
      <c r="C291" s="79"/>
      <c r="D291" s="79"/>
      <c r="E291" s="318"/>
      <c r="F291" s="319"/>
      <c r="G291" s="319"/>
      <c r="H291" s="319"/>
      <c r="I291" s="319"/>
      <c r="J291" s="319"/>
      <c r="K291" s="319"/>
      <c r="L291" s="319"/>
      <c r="M291" s="320"/>
      <c r="N291" s="228"/>
      <c r="O291" s="4"/>
    </row>
    <row r="292" spans="2:16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1" t="s">
        <v>528</v>
      </c>
      <c r="L293" s="321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302" t="s">
        <v>531</v>
      </c>
      <c r="M305" s="303"/>
      <c r="N305" s="236"/>
      <c r="O305" s="4"/>
      <c r="P305" s="96"/>
    </row>
    <row r="306" spans="2:16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x14ac:dyDescent="0.2">
      <c r="B309" s="230"/>
      <c r="C309" s="7"/>
      <c r="D309" s="7"/>
      <c r="E309" s="7"/>
      <c r="F309" s="306"/>
      <c r="G309" s="307"/>
      <c r="H309" s="307"/>
      <c r="I309" s="307"/>
      <c r="J309" s="307"/>
      <c r="K309" s="307"/>
      <c r="L309" s="308"/>
      <c r="M309" s="7"/>
      <c r="N309" s="228"/>
      <c r="O309" s="4"/>
      <c r="P309" s="96"/>
    </row>
    <row r="310" spans="2:16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02" t="s">
        <v>532</v>
      </c>
      <c r="M323" s="303"/>
      <c r="N323" s="228"/>
      <c r="O323" s="4"/>
      <c r="Q323" s="272"/>
    </row>
    <row r="324" spans="2:17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02" t="s">
        <v>533</v>
      </c>
      <c r="M324" s="303"/>
      <c r="N324" s="228"/>
      <c r="O324" s="4"/>
      <c r="Q324" s="272"/>
    </row>
    <row r="325" spans="2:17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1" t="s">
        <v>528</v>
      </c>
      <c r="L340" s="321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309"/>
      <c r="J351" s="310"/>
      <c r="K351" s="310"/>
      <c r="L351" s="310"/>
      <c r="M351" s="311"/>
      <c r="N351" s="228"/>
      <c r="O351" s="4"/>
    </row>
    <row r="352" spans="2:16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04" t="s">
        <v>299</v>
      </c>
      <c r="G381" s="305"/>
      <c r="H381" s="30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05"/>
      <c r="G382" s="305"/>
      <c r="H382" s="30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87" priority="209" stopIfTrue="1" operator="equal">
      <formula>""</formula>
    </cfRule>
  </conditionalFormatting>
  <conditionalFormatting sqref="H12:J12">
    <cfRule type="cellIs" dxfId="86" priority="210" stopIfTrue="1" operator="equal">
      <formula>$Q$6</formula>
    </cfRule>
  </conditionalFormatting>
  <conditionalFormatting sqref="M21">
    <cfRule type="cellIs" dxfId="85" priority="208" stopIfTrue="1" operator="equal">
      <formula>$Q$6</formula>
    </cfRule>
  </conditionalFormatting>
  <conditionalFormatting sqref="F308:F309 F173:L174">
    <cfRule type="cellIs" dxfId="84" priority="198" stopIfTrue="1" operator="equal">
      <formula>$Q$6</formula>
    </cfRule>
  </conditionalFormatting>
  <conditionalFormatting sqref="D237:L238 D188:L189">
    <cfRule type="cellIs" dxfId="83" priority="197" stopIfTrue="1" operator="equal">
      <formula>$Q$6</formula>
    </cfRule>
  </conditionalFormatting>
  <conditionalFormatting sqref="E227:I227 J305:K305 N305">
    <cfRule type="cellIs" dxfId="82" priority="90" stopIfTrue="1" operator="equal">
      <formula>$Q$8</formula>
    </cfRule>
  </conditionalFormatting>
  <conditionalFormatting sqref="I351:M351">
    <cfRule type="cellIs" dxfId="81" priority="80" stopIfTrue="1" operator="equal">
      <formula>$Q$6</formula>
    </cfRule>
  </conditionalFormatting>
  <conditionalFormatting sqref="J214">
    <cfRule type="cellIs" dxfId="80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79" priority="67" stopIfTrue="1" operator="equal">
      <formula>"FAIL"</formula>
    </cfRule>
  </conditionalFormatting>
  <conditionalFormatting sqref="H27:H31">
    <cfRule type="cellIs" dxfId="78" priority="40" stopIfTrue="1" operator="equal">
      <formula>"NOT REVIEWED"</formula>
    </cfRule>
  </conditionalFormatting>
  <conditionalFormatting sqref="M47:N50 M62:N66 M72:N72 M85:N88 L98:L100 L55:L57 M116:N120">
    <cfRule type="cellIs" dxfId="77" priority="38" stopIfTrue="1" operator="equal">
      <formula>"MARGINAL"</formula>
    </cfRule>
  </conditionalFormatting>
  <conditionalFormatting sqref="K170">
    <cfRule type="cellIs" dxfId="76" priority="29" stopIfTrue="1" operator="equal">
      <formula>"FAIL"</formula>
    </cfRule>
  </conditionalFormatting>
  <conditionalFormatting sqref="J131:J137 J145:J147 L161 L186 F186 I186:J186 D198 D206 J214 E227:I227 G230:G235">
    <cfRule type="cellIs" dxfId="75" priority="28" stopIfTrue="1" operator="equal">
      <formula>"FAIL"</formula>
    </cfRule>
  </conditionalFormatting>
  <conditionalFormatting sqref="E226:I226">
    <cfRule type="cellIs" dxfId="74" priority="27" stopIfTrue="1" operator="equal">
      <formula>"FAIL"</formula>
    </cfRule>
  </conditionalFormatting>
  <conditionalFormatting sqref="K101 E101 G101 I101">
    <cfRule type="cellIs" dxfId="73" priority="26" stopIfTrue="1" operator="equal">
      <formula>""</formula>
    </cfRule>
  </conditionalFormatting>
  <conditionalFormatting sqref="L101">
    <cfRule type="cellIs" dxfId="72" priority="23" stopIfTrue="1" operator="equal">
      <formula>"FAIL"</formula>
    </cfRule>
  </conditionalFormatting>
  <conditionalFormatting sqref="L101">
    <cfRule type="cellIs" dxfId="71" priority="22" stopIfTrue="1" operator="equal">
      <formula>"MARGINAL"</formula>
    </cfRule>
  </conditionalFormatting>
  <conditionalFormatting sqref="L213:M214">
    <cfRule type="cellIs" dxfId="70" priority="21" stopIfTrue="1" operator="equal">
      <formula>$Q$6</formula>
    </cfRule>
  </conditionalFormatting>
  <conditionalFormatting sqref="L323:M324">
    <cfRule type="cellIs" dxfId="69" priority="20" stopIfTrue="1" operator="equal">
      <formula>$Q$6</formula>
    </cfRule>
  </conditionalFormatting>
  <conditionalFormatting sqref="K24:L24">
    <cfRule type="cellIs" dxfId="68" priority="19" stopIfTrue="1" operator="notEqual">
      <formula>""</formula>
    </cfRule>
  </conditionalFormatting>
  <conditionalFormatting sqref="K33:L33">
    <cfRule type="cellIs" dxfId="67" priority="18" stopIfTrue="1" operator="notEqual">
      <formula>""</formula>
    </cfRule>
  </conditionalFormatting>
  <conditionalFormatting sqref="K103:L103">
    <cfRule type="cellIs" dxfId="66" priority="17" stopIfTrue="1" operator="notEqual">
      <formula>""</formula>
    </cfRule>
  </conditionalFormatting>
  <conditionalFormatting sqref="K122:L122">
    <cfRule type="cellIs" dxfId="65" priority="16" stopIfTrue="1" operator="notEqual">
      <formula>""</formula>
    </cfRule>
  </conditionalFormatting>
  <conditionalFormatting sqref="K240:L240">
    <cfRule type="cellIs" dxfId="64" priority="15" stopIfTrue="1" operator="notEqual">
      <formula>""</formula>
    </cfRule>
  </conditionalFormatting>
  <conditionalFormatting sqref="K273:L273">
    <cfRule type="cellIs" dxfId="63" priority="14" stopIfTrue="1" operator="notEqual">
      <formula>""</formula>
    </cfRule>
  </conditionalFormatting>
  <conditionalFormatting sqref="K293:L293">
    <cfRule type="cellIs" dxfId="62" priority="13" stopIfTrue="1" operator="notEqual">
      <formula>""</formula>
    </cfRule>
  </conditionalFormatting>
  <conditionalFormatting sqref="K340:L340">
    <cfRule type="cellIs" dxfId="61" priority="12" stopIfTrue="1" operator="notEqual">
      <formula>""</formula>
    </cfRule>
  </conditionalFormatting>
  <conditionalFormatting sqref="F15 M15 H27:H31">
    <cfRule type="cellIs" dxfId="60" priority="11" stopIfTrue="1" operator="equal">
      <formula>""</formula>
    </cfRule>
  </conditionalFormatting>
  <conditionalFormatting sqref="G98:G100">
    <cfRule type="cellIs" dxfId="59" priority="10" stopIfTrue="1" operator="equal">
      <formula>""</formula>
    </cfRule>
  </conditionalFormatting>
  <conditionalFormatting sqref="G351 D206 J186 D198">
    <cfRule type="cellIs" dxfId="58" priority="215" stopIfTrue="1" operator="equal">
      <formula>$Q$6</formula>
    </cfRule>
    <cfRule type="cellIs" dxfId="57" priority="216" stopIfTrue="1" operator="equal">
      <formula>$Q$8</formula>
    </cfRule>
  </conditionalFormatting>
  <conditionalFormatting sqref="E235:F235">
    <cfRule type="cellIs" dxfId="56" priority="9" stopIfTrue="1" operator="equal">
      <formula>""</formula>
    </cfRule>
  </conditionalFormatting>
  <conditionalFormatting sqref="I235">
    <cfRule type="cellIs" dxfId="55" priority="8" stopIfTrue="1" operator="equal">
      <formula>"FAIL"</formula>
    </cfRule>
  </conditionalFormatting>
  <conditionalFormatting sqref="I235">
    <cfRule type="cellIs" dxfId="54" priority="7" stopIfTrue="1" operator="equal">
      <formula>"FAIL"</formula>
    </cfRule>
  </conditionalFormatting>
  <conditionalFormatting sqref="L305:M305">
    <cfRule type="cellIs" dxfId="53" priority="6" stopIfTrue="1" operator="equal">
      <formula>$Q$6</formula>
    </cfRule>
  </conditionalFormatting>
  <conditionalFormatting sqref="J15">
    <cfRule type="cellIs" dxfId="52" priority="4" stopIfTrue="1" operator="equal">
      <formula>$Q$8</formula>
    </cfRule>
    <cfRule type="cellIs" dxfId="51" priority="5" stopIfTrue="1" operator="equal">
      <formula>$Q$6</formula>
    </cfRule>
  </conditionalFormatting>
  <conditionalFormatting sqref="J15">
    <cfRule type="cellIs" dxfId="50" priority="3" stopIfTrue="1" operator="equal">
      <formula>""</formula>
    </cfRule>
  </conditionalFormatting>
  <conditionalFormatting sqref="F15:G15">
    <cfRule type="cellIs" dxfId="49" priority="1" stopIfTrue="1" operator="equal">
      <formula>"CONDITIONAL PASS"</formula>
    </cfRule>
    <cfRule type="cellIs" dxfId="48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10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1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1" name="lbl_MVD_Measurements"/>
      </mc:Fallback>
    </mc:AlternateContent>
    <mc:AlternateContent xmlns:mc="http://schemas.openxmlformats.org/markup-compatibility/2006">
      <mc:Choice Requires="x14">
        <control shapeId="14736" r:id="rId12" name="lbl_Electron_Outputs">
          <controlPr defaultSize="0" autoFill="0" autoLine="0" r:id="rId10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2" name="lbl_Electron_Outputs"/>
      </mc:Fallback>
    </mc:AlternateContent>
    <mc:AlternateContent xmlns:mc="http://schemas.openxmlformats.org/markup-compatibility/2006">
      <mc:Choice Requires="x14">
        <control shapeId="14709" r:id="rId13" name="lbl_Xray_Outputs">
          <controlPr defaultSize="0" autoFill="0" autoLine="0" r:id="rId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3" name="lbl_Xray_Outputs"/>
      </mc:Fallback>
    </mc:AlternateContent>
    <mc:AlternateContent xmlns:mc="http://schemas.openxmlformats.org/markup-compatibility/2006">
      <mc:Choice Requires="x14">
        <control shapeId="14602" r:id="rId14" name="lbl_Audit">
          <controlPr defaultSize="0" autoFill="0" autoLine="0" r:id="rId10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4" name="lbl_Audit"/>
      </mc:Fallback>
    </mc:AlternateContent>
    <mc:AlternateContent xmlns:mc="http://schemas.openxmlformats.org/markup-compatibility/2006">
      <mc:Choice Requires="x14">
        <control shapeId="1187" r:id="rId15" name="cmdSave">
          <controlPr locked="0" defaultSize="0" autoLine="0" r:id="rId16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5" name="cmdSave"/>
      </mc:Fallback>
    </mc:AlternateContent>
    <mc:AlternateContent xmlns:mc="http://schemas.openxmlformats.org/markup-compatibility/2006">
      <mc:Choice Requires="x14">
        <control shapeId="1148" r:id="rId17" name="cmdOPTrend">
          <controlPr locked="0" defaultSize="0" autoLine="0" r:id="rId18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7" name="cmdOPTrend"/>
      </mc:Fallback>
    </mc:AlternateContent>
    <mc:AlternateContent xmlns:mc="http://schemas.openxmlformats.org/markup-compatibility/2006">
      <mc:Choice Requires="x14">
        <control shapeId="1144" r:id="rId19" name="cmdPrint">
          <controlPr locked="0" defaultSize="0" autoLine="0" r:id="rId20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9" name="cmdPrint"/>
      </mc:Fallback>
    </mc:AlternateContent>
    <mc:AlternateContent xmlns:mc="http://schemas.openxmlformats.org/markup-compatibility/2006">
      <mc:Choice Requires="x14">
        <control shapeId="1136" r:id="rId21" name="cmdClear">
          <controlPr locked="0" defaultSize="0" autoLine="0" r:id="rId22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1" name="cmdClear"/>
      </mc:Fallback>
    </mc:AlternateContent>
  </controls>
  <webPublishItems count="2">
    <webPublishItem id="31700" divId="VIFIR_TB1_JUN_2023_P_31700" sourceType="range" sourceRef="C124:H127" destinationFile="C:\Users\kyle.bromma1\Documents\code\pymedphys\src\QAtrack\data\VIFIR_TB1_JUN_2023_P.htm"/>
    <webPublishItem id="25501" divId="VIFIR_TB1_JUN_2023_P_25501" sourceType="range" sourceRef="D153:J157" destinationFile="C:\Users\kyle.bromma1\Documents\code\pymedphys\src\QAtrack\data\VIFIR_TB1_JUN_2023_P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topLeftCell="A37" zoomScale="115" zoomScaleNormal="115" workbookViewId="0">
      <pane xSplit="32505" topLeftCell="Y1"/>
      <selection activeCell="K52" sqref="K52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383"/>
  <sheetViews>
    <sheetView topLeftCell="A346" zoomScaleNormal="100" workbookViewId="0">
      <selection activeCell="G372" sqref="G372"/>
    </sheetView>
  </sheetViews>
  <sheetFormatPr defaultRowHeight="12.75" x14ac:dyDescent="0.2"/>
  <cols>
    <col min="1" max="1" width="3.7109375" style="3" customWidth="1"/>
    <col min="2" max="2" width="3.7109375" customWidth="1"/>
    <col min="3" max="8" width="11.7109375" customWidth="1"/>
    <col min="9" max="9" width="23" customWidth="1"/>
    <col min="10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27"/>
      <c r="I12" s="328"/>
      <c r="J12" s="329"/>
      <c r="K12" s="9"/>
      <c r="L12" s="72"/>
      <c r="M12" s="72"/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/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39"/>
      <c r="G15" s="340"/>
      <c r="I15" s="275" t="s">
        <v>511</v>
      </c>
      <c r="J15" s="21"/>
      <c r="K15" s="7"/>
      <c r="L15" s="185" t="s">
        <v>421</v>
      </c>
      <c r="M15" s="186"/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30"/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228"/>
      <c r="O17" s="4"/>
    </row>
    <row r="18" spans="2:15" x14ac:dyDescent="0.2">
      <c r="B18" s="227"/>
      <c r="C18" s="333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228"/>
      <c r="O18" s="4"/>
    </row>
    <row r="19" spans="2:15" x14ac:dyDescent="0.2">
      <c r="B19" s="227"/>
      <c r="C19" s="336"/>
      <c r="D19" s="337"/>
      <c r="E19" s="337"/>
      <c r="F19" s="337"/>
      <c r="G19" s="337"/>
      <c r="H19" s="337"/>
      <c r="I19" s="337"/>
      <c r="J19" s="337"/>
      <c r="K19" s="337"/>
      <c r="L19" s="337"/>
      <c r="M19" s="338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41"/>
      <c r="G21" s="342"/>
      <c r="I21" s="89"/>
      <c r="J21" s="89"/>
      <c r="K21" s="89"/>
      <c r="L21" s="16" t="s">
        <v>304</v>
      </c>
      <c r="M21" s="279"/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21"/>
      <c r="L24" s="321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/>
      <c r="I27" s="7"/>
      <c r="J27" s="318"/>
      <c r="K27" s="319"/>
      <c r="L27" s="319"/>
      <c r="M27" s="320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/>
      <c r="I28" s="7"/>
      <c r="J28" s="318"/>
      <c r="K28" s="319"/>
      <c r="L28" s="319"/>
      <c r="M28" s="320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/>
      <c r="I29" s="7"/>
      <c r="J29" s="318"/>
      <c r="K29" s="319"/>
      <c r="L29" s="319"/>
      <c r="M29" s="320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/>
      <c r="I30" s="7"/>
      <c r="J30" s="318"/>
      <c r="K30" s="319"/>
      <c r="L30" s="319"/>
      <c r="M30" s="320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/>
      <c r="I31" s="7"/>
      <c r="J31" s="318"/>
      <c r="K31" s="319"/>
      <c r="L31" s="319"/>
      <c r="M31" s="320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21"/>
      <c r="L33" s="321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hidden="1" x14ac:dyDescent="0.35">
      <c r="B35" s="227"/>
      <c r="C35" s="22" t="s">
        <v>250</v>
      </c>
      <c r="D35" s="112" t="s">
        <v>536</v>
      </c>
      <c r="F35" s="286" t="s">
        <v>537</v>
      </c>
      <c r="G35" s="112" t="s">
        <v>538</v>
      </c>
      <c r="H35" s="1"/>
      <c r="I35" s="22" t="s">
        <v>262</v>
      </c>
      <c r="J35" s="287" t="s">
        <v>539</v>
      </c>
      <c r="K35" s="80"/>
      <c r="L35" s="80"/>
      <c r="M35" s="80"/>
      <c r="N35" s="228"/>
      <c r="O35" s="4"/>
      <c r="P35" s="144"/>
    </row>
    <row r="36" spans="2:61" ht="15.75" hidden="1" customHeight="1" x14ac:dyDescent="0.2">
      <c r="B36" s="227"/>
      <c r="C36" s="7"/>
      <c r="D36" s="288"/>
      <c r="E36" s="288"/>
      <c r="F36" s="288"/>
      <c r="G36" s="288"/>
      <c r="H36" s="7"/>
      <c r="I36" s="7"/>
      <c r="J36" s="7"/>
      <c r="K36" s="80"/>
      <c r="L36" s="80"/>
      <c r="M36" s="80"/>
      <c r="N36" s="228"/>
      <c r="O36" s="4"/>
    </row>
    <row r="37" spans="2:61" ht="14.25" hidden="1" x14ac:dyDescent="0.25">
      <c r="B37" s="227"/>
      <c r="C37" s="24" t="s">
        <v>123</v>
      </c>
      <c r="D37" s="133" t="s">
        <v>759</v>
      </c>
      <c r="F37" s="289" t="s">
        <v>28</v>
      </c>
      <c r="G37" s="290" t="s">
        <v>547</v>
      </c>
      <c r="H37" s="7"/>
      <c r="I37" s="185" t="s">
        <v>479</v>
      </c>
      <c r="J37" s="291" t="s">
        <v>542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hidden="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hidden="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hidden="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hidden="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hidden="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hidden="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hidden="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hidden="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hidden="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hidden="1" x14ac:dyDescent="0.2">
      <c r="B47" s="227"/>
      <c r="C47" s="31">
        <v>6</v>
      </c>
      <c r="D47" s="77" t="str">
        <f>IF(H$12="","",VLOOKUP(H$12,Data!$S$32:$X$37,3,FALSE))</f>
        <v/>
      </c>
      <c r="E47" s="164" t="s">
        <v>920</v>
      </c>
      <c r="F47" s="164" t="s">
        <v>921</v>
      </c>
      <c r="G47" s="164" t="s">
        <v>922</v>
      </c>
      <c r="H47" s="38" t="e">
        <f>IF(OR(E47&lt;&gt;"",F47&lt;&gt;"",G47&lt;&gt;""),AVERAGE(E47:G47),"")</f>
        <v>#DIV/0!</v>
      </c>
      <c r="I47" t="s">
        <v>932</v>
      </c>
      <c r="J47" s="35">
        <f>IF(C47="","",100)</f>
        <v>100</v>
      </c>
      <c r="K47" s="35" t="e">
        <f>IF(I47&lt;&gt;"",I47-J47,"")</f>
        <v>#VALUE!</v>
      </c>
      <c r="L47" s="35">
        <f>IF(C47="","",2)</f>
        <v>2</v>
      </c>
      <c r="M47" s="36" t="e">
        <f>IF(K47="","",IF(ABS(K47)&lt;=L47/2,"PASS",IF(ABS(K47)&lt;=L47,"MARGINAL","FAIL")))</f>
        <v>#VALUE!</v>
      </c>
      <c r="N47" s="231"/>
      <c r="O47" s="4"/>
    </row>
    <row r="48" spans="2:61" hidden="1" x14ac:dyDescent="0.2">
      <c r="B48" s="227"/>
      <c r="C48" s="37">
        <v>10</v>
      </c>
      <c r="D48" s="77" t="str">
        <f>IF(H$12="","",VLOOKUP(H$12,Data!$S$32:$X$37,4,FALSE))</f>
        <v/>
      </c>
      <c r="E48" s="164" t="s">
        <v>923</v>
      </c>
      <c r="F48" s="164" t="s">
        <v>924</v>
      </c>
      <c r="G48" s="164" t="s">
        <v>925</v>
      </c>
      <c r="H48" s="38" t="e">
        <f>IF(OR(E48&lt;&gt;"",F48&lt;&gt;"",G48&lt;&gt;""),AVERAGE(E48:G48),"")</f>
        <v>#DIV/0!</v>
      </c>
      <c r="I48" t="s">
        <v>933</v>
      </c>
      <c r="J48" s="39">
        <f>IF(C48="","",100)</f>
        <v>100</v>
      </c>
      <c r="K48" s="39" t="e">
        <f>IF(I48&lt;&gt;"",I48-J48,"")</f>
        <v>#VALUE!</v>
      </c>
      <c r="L48" s="39">
        <f>IF(C48="","",2)</f>
        <v>2</v>
      </c>
      <c r="M48" s="36" t="e">
        <f>IF(K48="","",IF(ABS(K48)&lt;=L48/2,"PASS",IF(ABS(K48)&lt;=L48,"MARGINAL","FAIL")))</f>
        <v>#VALUE!</v>
      </c>
      <c r="N48" s="231"/>
      <c r="O48" s="4"/>
    </row>
    <row r="49" spans="2:16" hidden="1" x14ac:dyDescent="0.2">
      <c r="B49" s="227"/>
      <c r="C49" s="37" t="s">
        <v>137</v>
      </c>
      <c r="D49" s="77" t="str">
        <f>IF(H$12="","",VLOOKUP(H$12,Data!$S$32:$X$37,6,FALSE))</f>
        <v/>
      </c>
      <c r="E49" s="164" t="s">
        <v>926</v>
      </c>
      <c r="F49" s="164" t="s">
        <v>927</v>
      </c>
      <c r="G49" s="164" t="s">
        <v>928</v>
      </c>
      <c r="H49" s="38" t="e">
        <f>IF(OR(E49&lt;&gt;"",F49&lt;&gt;"",G49&lt;&gt;""),AVERAGE(E49:G49),"")</f>
        <v>#DIV/0!</v>
      </c>
      <c r="I49" t="s">
        <v>934</v>
      </c>
      <c r="J49" s="39">
        <f>IF(C49="","",100)</f>
        <v>100</v>
      </c>
      <c r="K49" s="39" t="e">
        <f>IF(I49&lt;&gt;"",I49-J49,"")</f>
        <v>#VALUE!</v>
      </c>
      <c r="L49" s="39">
        <f>IF(C49="","",2)</f>
        <v>2</v>
      </c>
      <c r="M49" s="36" t="e">
        <f>IF(K49="","",IF(ABS(K49)&lt;=L49/2,"PASS",IF(ABS(K49)&lt;=L49,"MARGINAL","FAIL")))</f>
        <v>#VALUE!</v>
      </c>
      <c r="N49" s="231"/>
      <c r="O49" s="4"/>
    </row>
    <row r="50" spans="2:16" hidden="1" x14ac:dyDescent="0.2">
      <c r="B50" s="227"/>
      <c r="C50" s="37">
        <v>15</v>
      </c>
      <c r="D50" s="77" t="str">
        <f>IF(H$12="","",VLOOKUP(H$12,Data!$S$32:$X$37,5,FALSE))</f>
        <v/>
      </c>
      <c r="E50" s="164" t="s">
        <v>929</v>
      </c>
      <c r="F50" s="164" t="s">
        <v>930</v>
      </c>
      <c r="G50" s="164" t="s">
        <v>931</v>
      </c>
      <c r="H50" s="38" t="e">
        <f>IF(OR(E50&lt;&gt;"",F50&lt;&gt;"",G50&lt;&gt;""),AVERAGE(E50:G50),"")</f>
        <v>#DIV/0!</v>
      </c>
      <c r="I50" t="s">
        <v>935</v>
      </c>
      <c r="J50" s="39">
        <f>IF(C50="","",100)</f>
        <v>100</v>
      </c>
      <c r="K50" s="39" t="e">
        <f>IF(I50&lt;&gt;"",I50-J50,"")</f>
        <v>#VALUE!</v>
      </c>
      <c r="L50" s="39">
        <f>IF(C50="","",2)</f>
        <v>2</v>
      </c>
      <c r="M50" s="36" t="e">
        <f>IF(K50="","",IF(ABS(K50)&lt;=L50/2,"PASS",IF(ABS(K50)&lt;=L50,"MARGINAL","FAIL")))</f>
        <v>#VALUE!</v>
      </c>
      <c r="N50" s="231"/>
      <c r="O50" s="4"/>
    </row>
    <row r="51" spans="2:16" hidden="1" x14ac:dyDescent="0.2">
      <c r="B51" s="227"/>
      <c r="C51" s="7"/>
      <c r="D51" s="7"/>
      <c r="E51" s="288"/>
      <c r="F51" s="288"/>
      <c r="G51" s="288"/>
      <c r="H51" s="7"/>
      <c r="I51" s="7"/>
      <c r="J51" s="7"/>
      <c r="K51" s="7"/>
      <c r="L51" s="7"/>
      <c r="M51" s="7"/>
      <c r="N51" s="228"/>
      <c r="O51" s="4"/>
    </row>
    <row r="52" spans="2:16" hidden="1" x14ac:dyDescent="0.2">
      <c r="B52" s="227"/>
      <c r="C52" s="108" t="s">
        <v>323</v>
      </c>
      <c r="D52" s="7"/>
      <c r="E52" s="288"/>
      <c r="F52" s="292" t="s">
        <v>322</v>
      </c>
      <c r="G52" s="288"/>
      <c r="H52" s="7"/>
      <c r="I52" s="7"/>
      <c r="J52" s="7"/>
      <c r="K52" s="7"/>
      <c r="L52" s="7"/>
      <c r="M52" s="7"/>
      <c r="N52" s="228"/>
      <c r="O52" s="4"/>
    </row>
    <row r="53" spans="2:16" hidden="1" x14ac:dyDescent="0.2">
      <c r="B53" s="227"/>
      <c r="C53" s="27" t="s">
        <v>38</v>
      </c>
      <c r="D53" s="27" t="s">
        <v>55</v>
      </c>
      <c r="E53" s="170" t="s">
        <v>53</v>
      </c>
      <c r="F53" s="170" t="s">
        <v>57</v>
      </c>
      <c r="G53" s="170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hidden="1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hidden="1" x14ac:dyDescent="0.2">
      <c r="B55" s="227"/>
      <c r="C55" s="43">
        <v>6</v>
      </c>
      <c r="D55" s="34" t="e">
        <f>IF(H47="","",H47)</f>
        <v>#DIV/0!</v>
      </c>
      <c r="E55" s="145" t="s">
        <v>884</v>
      </c>
      <c r="F55" s="145" t="s">
        <v>885</v>
      </c>
      <c r="G55" s="44" t="e">
        <f>IF(AND(E55="",F55=""),"",AVERAGE(E55:F55))</f>
        <v>#DIV/0!</v>
      </c>
      <c r="H55" s="44" t="s">
        <v>890</v>
      </c>
      <c r="I55" s="32">
        <f>Data!B52</f>
        <v>0.65500000000000003</v>
      </c>
      <c r="J55" s="35" t="e">
        <f>IF(H55="","",100*(H55-I55)/I55)</f>
        <v>#VALUE!</v>
      </c>
      <c r="K55" s="35">
        <v>2</v>
      </c>
      <c r="L55" s="36" t="e">
        <f>IF(J55="","",IF(ABS(J55)&lt;=K55/2,"PASS",IF(ABS(J55)&lt;=K55,"MARGINAL","FAIL")))</f>
        <v>#VALUE!</v>
      </c>
      <c r="M55" s="41"/>
      <c r="N55" s="232"/>
      <c r="O55" s="4"/>
    </row>
    <row r="56" spans="2:16" hidden="1" x14ac:dyDescent="0.2">
      <c r="B56" s="227"/>
      <c r="C56" s="45">
        <v>10</v>
      </c>
      <c r="D56" s="38" t="e">
        <f>IF(H48="","",H48)</f>
        <v>#DIV/0!</v>
      </c>
      <c r="E56" s="293" t="s">
        <v>886</v>
      </c>
      <c r="F56" s="293" t="s">
        <v>887</v>
      </c>
      <c r="G56" s="38" t="e">
        <f>IF(AND(E56="",F56=""),"",AVERAGE(E56:F56))</f>
        <v>#DIV/0!</v>
      </c>
      <c r="H56" s="44" t="s">
        <v>891</v>
      </c>
      <c r="I56" s="32">
        <f>Data!B53</f>
        <v>0.69599999999999995</v>
      </c>
      <c r="J56" s="35" t="e">
        <f>IF(H56="","",100*(H56-I56)/I56)</f>
        <v>#VALUE!</v>
      </c>
      <c r="K56" s="39">
        <v>2</v>
      </c>
      <c r="L56" s="36" t="e">
        <f>IF(J56="","",IF(ABS(J56)&lt;=K56/2,"PASS",IF(ABS(J56)&lt;=K56,"MARGINAL","FAIL")))</f>
        <v>#VALUE!</v>
      </c>
      <c r="M56" s="41"/>
      <c r="N56" s="232"/>
      <c r="O56" s="4"/>
    </row>
    <row r="57" spans="2:16" hidden="1" x14ac:dyDescent="0.2">
      <c r="B57" s="227"/>
      <c r="C57" s="45">
        <v>15</v>
      </c>
      <c r="D57" s="38" t="e">
        <f>IF(H50="","",H50)</f>
        <v>#DIV/0!</v>
      </c>
      <c r="E57" s="293" t="s">
        <v>888</v>
      </c>
      <c r="F57" s="293" t="s">
        <v>889</v>
      </c>
      <c r="G57" s="38" t="e">
        <f>IF(AND(E57="",F57=""),"",AVERAGE(E57:F57))</f>
        <v>#DIV/0!</v>
      </c>
      <c r="H57" s="44" t="s">
        <v>892</v>
      </c>
      <c r="I57" s="32">
        <f>Data!B54</f>
        <v>0.71199999999999997</v>
      </c>
      <c r="J57" s="35" t="e">
        <f>IF(H57="","",100*(H57-I57)/I57)</f>
        <v>#VALUE!</v>
      </c>
      <c r="K57" s="39">
        <v>2</v>
      </c>
      <c r="L57" s="36" t="e">
        <f>IF(J57="","",IF(ABS(J57)&lt;=K57/2,"PASS",IF(ABS(J57)&lt;=K57,"MARGINAL","FAIL")))</f>
        <v>#VALUE!</v>
      </c>
      <c r="M57" s="41"/>
      <c r="N57" s="232"/>
      <c r="O57" s="4"/>
    </row>
    <row r="58" spans="2:16" hidden="1" x14ac:dyDescent="0.2">
      <c r="B58" s="227"/>
      <c r="C58" s="7"/>
      <c r="D58" s="7"/>
      <c r="E58" s="288"/>
      <c r="F58" s="288"/>
      <c r="G58" s="288"/>
      <c r="H58" s="7"/>
      <c r="I58" s="7"/>
      <c r="J58" s="7"/>
      <c r="K58" s="7"/>
      <c r="L58" s="7"/>
      <c r="M58" s="7"/>
      <c r="N58" s="228"/>
      <c r="O58" s="4"/>
    </row>
    <row r="59" spans="2:16" hidden="1" x14ac:dyDescent="0.2">
      <c r="B59" s="227"/>
      <c r="C59" s="108" t="s">
        <v>324</v>
      </c>
      <c r="D59" s="7"/>
      <c r="E59" s="288"/>
      <c r="F59" s="292" t="str">
        <f>IF(H12="VIOAK_TB6","2dMLC_HD_OP.dcm","2dMLC_OP.dcm")</f>
        <v>2dMLC_OP.dcm</v>
      </c>
      <c r="G59" s="288"/>
      <c r="H59" s="7"/>
      <c r="I59" s="7"/>
      <c r="J59" s="7"/>
      <c r="K59" s="7"/>
      <c r="L59" s="7"/>
      <c r="M59" s="7"/>
      <c r="N59" s="228"/>
      <c r="O59" s="4"/>
    </row>
    <row r="60" spans="2:16" hidden="1" x14ac:dyDescent="0.2">
      <c r="B60" s="227"/>
      <c r="C60" s="27" t="s">
        <v>38</v>
      </c>
      <c r="D60" s="27" t="s">
        <v>142</v>
      </c>
      <c r="E60" s="170" t="s">
        <v>55</v>
      </c>
      <c r="F60" s="47" t="s">
        <v>145</v>
      </c>
      <c r="G60" s="47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hidden="1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hidden="1" x14ac:dyDescent="0.2">
      <c r="B62" s="227"/>
      <c r="C62" s="32">
        <v>6</v>
      </c>
      <c r="D62" s="50" t="s">
        <v>147</v>
      </c>
      <c r="E62" s="84" t="e">
        <f>IF($H$47="","",$H$47)</f>
        <v>#DIV/0!</v>
      </c>
      <c r="F62" s="145" t="s">
        <v>905</v>
      </c>
      <c r="G62" s="145" t="s">
        <v>906</v>
      </c>
      <c r="H62" s="44" t="e">
        <f>IF(AND(F62="",G62=""),"",AVERAGE(F62:G62))</f>
        <v>#DIV/0!</v>
      </c>
      <c r="I62" s="56" t="s">
        <v>915</v>
      </c>
      <c r="J62" s="56">
        <f>IF($H$12="VIOAK_TB6",Data!L52,Data!K52)</f>
        <v>7.46E-2</v>
      </c>
      <c r="K62" s="35" t="e">
        <f>IF(I62="","",100*(I62-J62)/J62)</f>
        <v>#VALUE!</v>
      </c>
      <c r="L62" s="35">
        <v>2</v>
      </c>
      <c r="M62" s="36" t="e">
        <f>IF(K62="","",IF(ABS(K62)&lt;=L62/2,"PASS",IF(ABS(K62)&lt;=L62,"MARGINAL","FAIL")))</f>
        <v>#VALUE!</v>
      </c>
      <c r="N62" s="231"/>
      <c r="O62" s="4"/>
    </row>
    <row r="63" spans="2:16" hidden="1" x14ac:dyDescent="0.2">
      <c r="B63" s="227"/>
      <c r="C63" s="29">
        <v>6</v>
      </c>
      <c r="D63" s="53" t="s">
        <v>150</v>
      </c>
      <c r="E63" s="84" t="e">
        <f>IF($H$47="","",$H$47)</f>
        <v>#DIV/0!</v>
      </c>
      <c r="F63" s="294" t="s">
        <v>907</v>
      </c>
      <c r="G63" s="294" t="s">
        <v>908</v>
      </c>
      <c r="H63" s="44" t="e">
        <f>IF(AND(F63="",G63=""),"",AVERAGE(F63:G63))</f>
        <v>#DIV/0!</v>
      </c>
      <c r="I63" s="56" t="s">
        <v>916</v>
      </c>
      <c r="J63" s="56">
        <f>IF($H$12="VIOAK_TB6",Data!L52,Data!K52)</f>
        <v>7.46E-2</v>
      </c>
      <c r="K63" s="35" t="e">
        <f>IF(I63="","",100*(I63-J63)/J63)</f>
        <v>#VALUE!</v>
      </c>
      <c r="L63" s="39">
        <v>3</v>
      </c>
      <c r="M63" s="36" t="e">
        <f>IF(K63="","",IF(ABS(K63)&lt;=L63/2,"PASS",IF(ABS(K63)&lt;=L63,"MARGINAL","FAIL")))</f>
        <v>#VALUE!</v>
      </c>
      <c r="N63" s="231"/>
      <c r="O63" s="4"/>
      <c r="P63" s="94"/>
    </row>
    <row r="64" spans="2:16" hidden="1" x14ac:dyDescent="0.2">
      <c r="B64" s="227"/>
      <c r="C64" s="29">
        <v>6</v>
      </c>
      <c r="D64" s="53" t="s">
        <v>155</v>
      </c>
      <c r="E64" s="84" t="e">
        <f>IF($H$47="","",$H$47)</f>
        <v>#DIV/0!</v>
      </c>
      <c r="F64" s="293" t="s">
        <v>909</v>
      </c>
      <c r="G64" s="293" t="s">
        <v>910</v>
      </c>
      <c r="H64" s="34" t="e">
        <f>IF(AND(F64="",G64=""),"",AVERAGE(F64:G64))</f>
        <v>#DIV/0!</v>
      </c>
      <c r="I64" s="44" t="s">
        <v>917</v>
      </c>
      <c r="J64" s="56">
        <f>IF($H$12="VIOAK_TB6",Data!L53,Data!K53)</f>
        <v>0.93</v>
      </c>
      <c r="K64" s="35" t="e">
        <f>IF(I64="","",100*(I64-J64)/J64)</f>
        <v>#VALUE!</v>
      </c>
      <c r="L64" s="39">
        <v>2</v>
      </c>
      <c r="M64" s="36" t="e">
        <f>IF(K64="","",IF(ABS(K64)&lt;=L64/2,"PASS",IF(ABS(K64)&lt;=L64,"MARGINAL","FAIL")))</f>
        <v>#VALUE!</v>
      </c>
      <c r="N64" s="231"/>
      <c r="O64" s="4"/>
      <c r="P64" s="94"/>
    </row>
    <row r="65" spans="2:16" hidden="1" x14ac:dyDescent="0.2">
      <c r="B65" s="227"/>
      <c r="C65" s="29">
        <v>6</v>
      </c>
      <c r="D65" s="53" t="s">
        <v>144</v>
      </c>
      <c r="E65" s="84" t="e">
        <f>IF($H$47="","",$H$47)</f>
        <v>#DIV/0!</v>
      </c>
      <c r="F65" s="294" t="s">
        <v>911</v>
      </c>
      <c r="G65" s="294" t="s">
        <v>912</v>
      </c>
      <c r="H65" s="44" t="e">
        <f>IF(AND(F65="",G65=""),"",AVERAGE(F65:G65))</f>
        <v>#DIV/0!</v>
      </c>
      <c r="I65" s="44" t="s">
        <v>918</v>
      </c>
      <c r="J65" s="56">
        <f>IF($H$12="VIOAK_TB6",Data!L54,Data!K54)</f>
        <v>0.626</v>
      </c>
      <c r="K65" s="35" t="e">
        <f>IF(I65="","",100*(I65-J65)/J65)</f>
        <v>#VALUE!</v>
      </c>
      <c r="L65" s="39">
        <v>2</v>
      </c>
      <c r="M65" s="36" t="e">
        <f>IF(K65="","",IF(ABS(K65)&lt;=L65/2,"PASS",IF(ABS(K65)&lt;=L65,"MARGINAL","FAIL")))</f>
        <v>#VALUE!</v>
      </c>
      <c r="N65" s="231"/>
      <c r="O65" s="4"/>
      <c r="P65" s="94"/>
    </row>
    <row r="66" spans="2:16" hidden="1" x14ac:dyDescent="0.2">
      <c r="B66" s="227"/>
      <c r="C66" s="29">
        <v>6</v>
      </c>
      <c r="D66" s="53" t="s">
        <v>325</v>
      </c>
      <c r="E66" s="84" t="e">
        <f>IF($H$47="","",$H$47)</f>
        <v>#DIV/0!</v>
      </c>
      <c r="F66" s="294" t="s">
        <v>913</v>
      </c>
      <c r="G66" s="294" t="s">
        <v>914</v>
      </c>
      <c r="H66" s="44" t="e">
        <f>IF(AND(F66="",G66=""),"",AVERAGE(F66:G66))</f>
        <v>#DIV/0!</v>
      </c>
      <c r="I66" s="44" t="s">
        <v>919</v>
      </c>
      <c r="J66" s="56">
        <f>IF($H$12="VIOAK_TB6",Data!L55,Data!K55)</f>
        <v>0.23400000000000001</v>
      </c>
      <c r="K66" s="35" t="e">
        <f>IF(I66="","",100*(I66-J66)/J66)</f>
        <v>#VALUE!</v>
      </c>
      <c r="L66" s="39">
        <v>2</v>
      </c>
      <c r="M66" s="36" t="e">
        <f>IF(K66="","",IF(ABS(K66)&lt;=L66/2,"PASS",IF(ABS(K66)&lt;=L66,"MARGINAL","FAIL")))</f>
        <v>#VALUE!</v>
      </c>
      <c r="N66" s="231"/>
      <c r="O66" s="4"/>
      <c r="P66" s="94"/>
    </row>
    <row r="67" spans="2:16" hidden="1" x14ac:dyDescent="0.2">
      <c r="B67" s="227"/>
      <c r="C67" s="90" t="s">
        <v>151</v>
      </c>
      <c r="D67" s="83"/>
      <c r="E67" s="295"/>
      <c r="F67" s="296"/>
      <c r="G67" s="296"/>
      <c r="H67" s="82"/>
      <c r="I67" s="55"/>
      <c r="J67" s="55"/>
      <c r="K67" s="54"/>
      <c r="L67" s="54"/>
      <c r="M67" s="52"/>
      <c r="N67" s="231"/>
      <c r="O67" s="4"/>
      <c r="P67" s="94"/>
    </row>
    <row r="68" spans="2:16" hidden="1" x14ac:dyDescent="0.2">
      <c r="B68" s="227"/>
      <c r="C68" s="89"/>
      <c r="D68" s="7"/>
      <c r="E68" s="288"/>
      <c r="F68" s="288"/>
      <c r="G68" s="288"/>
      <c r="H68" s="7"/>
      <c r="I68" s="7"/>
      <c r="J68" s="7"/>
      <c r="K68" s="7"/>
      <c r="L68" s="7"/>
      <c r="M68" s="7"/>
      <c r="N68" s="228"/>
      <c r="O68" s="4"/>
      <c r="P68" s="94"/>
    </row>
    <row r="69" spans="2:16" hidden="1" x14ac:dyDescent="0.2">
      <c r="B69" s="227"/>
      <c r="C69" s="108" t="s">
        <v>326</v>
      </c>
      <c r="D69" s="7"/>
      <c r="E69" s="288"/>
      <c r="F69" s="292" t="str">
        <f>IF(H12="VIOAK_TB6","3VMAT_HD.dcm","3VMAT_H&amp;N.dcm")</f>
        <v>3VMAT_H&amp;N.dcm</v>
      </c>
      <c r="G69" s="288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hidden="1" customHeight="1" x14ac:dyDescent="0.2">
      <c r="B70" s="227"/>
      <c r="C70" s="27" t="s">
        <v>38</v>
      </c>
      <c r="D70" s="27" t="s">
        <v>142</v>
      </c>
      <c r="E70" s="170" t="s">
        <v>55</v>
      </c>
      <c r="F70" s="47" t="s">
        <v>145</v>
      </c>
      <c r="G70" s="47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hidden="1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hidden="1" customHeight="1" x14ac:dyDescent="0.2">
      <c r="B72" s="227"/>
      <c r="C72" s="32">
        <v>6</v>
      </c>
      <c r="D72" s="50" t="s">
        <v>220</v>
      </c>
      <c r="E72" s="84" t="e">
        <f>IF($H$47="","",$H$47)</f>
        <v>#DIV/0!</v>
      </c>
      <c r="F72" s="164" t="s">
        <v>936</v>
      </c>
      <c r="G72" s="164" t="s">
        <v>937</v>
      </c>
      <c r="H72" s="34" t="e">
        <f>IF(AND(F72="",G72=""),"",AVERAGE(F72:G72))</f>
        <v>#DIV/0!</v>
      </c>
      <c r="I72" s="44" t="s">
        <v>938</v>
      </c>
      <c r="J72" s="56">
        <f>IF($H$12="VIOAK_TB6",Data!L56,Data!K56)</f>
        <v>1.498</v>
      </c>
      <c r="K72" s="35" t="e">
        <f>IF(I72="","",100*(I72-J72)/J72)</f>
        <v>#VALUE!</v>
      </c>
      <c r="L72" s="35">
        <v>3</v>
      </c>
      <c r="M72" s="36" t="e">
        <f>IF(K72="","",IF(ABS(K72)&lt;=L72/2,"PASS",IF(ABS(K72)&lt;=L72,"MARGINAL","FAIL")))</f>
        <v>#VALUE!</v>
      </c>
      <c r="N72" s="231"/>
      <c r="O72" s="4"/>
    </row>
    <row r="73" spans="2:16" hidden="1" x14ac:dyDescent="0.2">
      <c r="B73" s="227"/>
      <c r="C73" s="41"/>
      <c r="D73" s="83"/>
      <c r="E73" s="295"/>
      <c r="F73" s="296"/>
      <c r="G73" s="296"/>
      <c r="H73" s="82"/>
      <c r="I73" s="55"/>
      <c r="J73" s="88"/>
      <c r="K73" s="54"/>
      <c r="L73" s="54"/>
      <c r="M73" s="52"/>
      <c r="N73" s="231"/>
      <c r="O73" s="4"/>
    </row>
    <row r="74" spans="2:16" hidden="1" x14ac:dyDescent="0.2">
      <c r="B74" s="227"/>
      <c r="C74" s="108" t="s">
        <v>328</v>
      </c>
      <c r="D74" s="7"/>
      <c r="E74" s="288"/>
      <c r="F74" s="292" t="str">
        <f>IF(H12="VIOAK_TB6","4dMLC_HDErr.dcm","4dMLC_Error.dcm")</f>
        <v>4dMLC_Error.dcm</v>
      </c>
      <c r="G74" s="288"/>
      <c r="H74" s="7"/>
      <c r="I74" s="7"/>
      <c r="J74" s="7"/>
      <c r="K74" s="7"/>
      <c r="L74" s="7"/>
      <c r="M74" s="7"/>
      <c r="N74" s="228"/>
      <c r="O74" s="4"/>
    </row>
    <row r="75" spans="2:16" hidden="1" x14ac:dyDescent="0.2">
      <c r="B75" s="227"/>
      <c r="C75" s="27" t="s">
        <v>38</v>
      </c>
      <c r="D75" s="27" t="s">
        <v>142</v>
      </c>
      <c r="E75" s="47" t="s">
        <v>153</v>
      </c>
      <c r="F75" s="48"/>
      <c r="G75" s="297"/>
      <c r="H75" s="83"/>
      <c r="I75" s="83"/>
      <c r="J75" s="83"/>
      <c r="K75" s="83"/>
      <c r="L75" s="83"/>
      <c r="M75" s="83"/>
      <c r="N75" s="233"/>
      <c r="O75" s="4"/>
    </row>
    <row r="76" spans="2:16" hidden="1" x14ac:dyDescent="0.2">
      <c r="B76" s="227"/>
      <c r="C76" s="29" t="s">
        <v>45</v>
      </c>
      <c r="D76" s="29"/>
      <c r="E76" s="53"/>
      <c r="F76" s="40"/>
      <c r="G76" s="298"/>
      <c r="H76" s="41"/>
      <c r="I76" s="41"/>
      <c r="J76" s="41"/>
      <c r="K76" s="41"/>
      <c r="L76" s="41"/>
      <c r="M76" s="41"/>
      <c r="N76" s="232"/>
      <c r="O76" s="4"/>
    </row>
    <row r="77" spans="2:16" hidden="1" x14ac:dyDescent="0.2">
      <c r="B77" s="227"/>
      <c r="C77" s="32">
        <v>6</v>
      </c>
      <c r="D77" s="50" t="s">
        <v>152</v>
      </c>
      <c r="E77" s="164" t="s">
        <v>883</v>
      </c>
      <c r="F77" s="298"/>
      <c r="G77" s="299"/>
      <c r="H77" s="52"/>
      <c r="I77" s="52"/>
      <c r="J77" s="52"/>
      <c r="K77" s="52"/>
      <c r="L77" s="52"/>
      <c r="M77" s="52"/>
      <c r="N77" s="231"/>
      <c r="O77" s="4"/>
    </row>
    <row r="78" spans="2:16" hidden="1" x14ac:dyDescent="0.2">
      <c r="B78" s="227"/>
      <c r="C78" s="90" t="s">
        <v>154</v>
      </c>
      <c r="D78" s="83"/>
      <c r="E78" s="295"/>
      <c r="F78" s="296"/>
      <c r="G78" s="296"/>
      <c r="H78" s="82"/>
      <c r="I78" s="55"/>
      <c r="J78" s="88"/>
      <c r="K78" s="54"/>
      <c r="L78" s="54"/>
      <c r="M78" s="52"/>
      <c r="N78" s="231"/>
      <c r="O78" s="4"/>
    </row>
    <row r="79" spans="2:16" hidden="1" x14ac:dyDescent="0.2">
      <c r="B79" s="227"/>
      <c r="C79" s="52"/>
      <c r="D79" s="52"/>
      <c r="E79" s="299"/>
      <c r="F79" s="299"/>
      <c r="G79" s="299"/>
      <c r="H79" s="52"/>
      <c r="I79" s="52"/>
      <c r="J79" s="52"/>
      <c r="K79" s="52"/>
      <c r="L79" s="52"/>
      <c r="M79" s="52"/>
      <c r="N79" s="231"/>
      <c r="O79" s="4"/>
    </row>
    <row r="80" spans="2:16" hidden="1" x14ac:dyDescent="0.2">
      <c r="B80" s="227"/>
      <c r="C80" s="79" t="s">
        <v>386</v>
      </c>
      <c r="D80" s="7"/>
      <c r="E80" s="288"/>
      <c r="F80" s="288"/>
      <c r="G80" s="288"/>
      <c r="H80" s="7"/>
      <c r="I80" s="7"/>
      <c r="J80" s="7"/>
      <c r="K80" s="7"/>
      <c r="L80" s="7"/>
      <c r="M80" s="7"/>
      <c r="N80" s="228"/>
      <c r="O80" s="4"/>
    </row>
    <row r="81" spans="2:20" hidden="1" x14ac:dyDescent="0.2">
      <c r="B81" s="227"/>
      <c r="C81" s="79"/>
      <c r="D81" s="7"/>
      <c r="E81" s="288"/>
      <c r="F81" s="288"/>
      <c r="G81" s="288"/>
      <c r="H81" s="7"/>
      <c r="I81" s="7"/>
      <c r="J81" s="7"/>
      <c r="K81" s="7"/>
      <c r="L81" s="7"/>
      <c r="M81" s="7"/>
      <c r="N81" s="228"/>
      <c r="O81" s="4"/>
    </row>
    <row r="82" spans="2:20" hidden="1" x14ac:dyDescent="0.2">
      <c r="B82" s="227"/>
      <c r="C82" s="108" t="s">
        <v>327</v>
      </c>
      <c r="D82" s="7"/>
      <c r="E82" s="288"/>
      <c r="F82" s="292" t="s">
        <v>329</v>
      </c>
      <c r="H82" s="7"/>
      <c r="I82" s="7"/>
      <c r="J82" s="7"/>
      <c r="K82" s="7"/>
      <c r="L82" s="7"/>
      <c r="M82" s="7"/>
      <c r="N82" s="228"/>
      <c r="O82" s="4"/>
      <c r="Q82" s="111"/>
    </row>
    <row r="83" spans="2:20" hidden="1" x14ac:dyDescent="0.2">
      <c r="B83" s="227"/>
      <c r="C83" s="27" t="s">
        <v>38</v>
      </c>
      <c r="D83" s="27" t="s">
        <v>124</v>
      </c>
      <c r="E83" s="170" t="s">
        <v>358</v>
      </c>
      <c r="F83" s="170" t="s">
        <v>61</v>
      </c>
      <c r="G83" s="170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hidden="1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hidden="1" x14ac:dyDescent="0.25">
      <c r="B85" s="227"/>
      <c r="C85" s="29">
        <v>6</v>
      </c>
      <c r="D85" s="34" t="e">
        <f>IF(H47="","",H47)</f>
        <v>#DIV/0!</v>
      </c>
      <c r="E85" s="100">
        <v>2.5</v>
      </c>
      <c r="F85" s="164" t="s">
        <v>893</v>
      </c>
      <c r="G85" s="164" t="s">
        <v>894</v>
      </c>
      <c r="H85" s="34" t="e">
        <f>IF(AND(F85="",G85=""),"",AVERAGE(F85:G85))</f>
        <v>#DIV/0!</v>
      </c>
      <c r="I85" s="44" t="s">
        <v>901</v>
      </c>
      <c r="J85" s="44">
        <f>Data!H52</f>
        <v>0.78400000000000003</v>
      </c>
      <c r="K85" s="35" t="e">
        <f>IF(I85="","",100*(I85-J85)/J85)</f>
        <v>#VALUE!</v>
      </c>
      <c r="L85" s="35">
        <v>2</v>
      </c>
      <c r="M85" s="36" t="e">
        <f>IF(K85="","",IF(ABS(K85)&lt;=L85/2,"PASS",IF(ABS(K85)&lt;=L85,"MARGINAL","FAIL")))</f>
        <v>#VALUE!</v>
      </c>
      <c r="N85" s="231"/>
      <c r="O85" s="4"/>
      <c r="T85" s="169"/>
    </row>
    <row r="86" spans="2:20" ht="15" hidden="1" x14ac:dyDescent="0.25">
      <c r="B86" s="227"/>
      <c r="C86" s="29">
        <v>10</v>
      </c>
      <c r="D86" s="34" t="e">
        <f>IF(H48="","",H48)</f>
        <v>#DIV/0!</v>
      </c>
      <c r="E86" s="100">
        <v>2.5</v>
      </c>
      <c r="F86" s="293" t="s">
        <v>895</v>
      </c>
      <c r="G86" s="293" t="s">
        <v>896</v>
      </c>
      <c r="H86" s="38" t="e">
        <f>IF(AND(F86="",G86=""),"",AVERAGE(F86:G86))</f>
        <v>#DIV/0!</v>
      </c>
      <c r="I86" s="44" t="s">
        <v>902</v>
      </c>
      <c r="J86" s="44">
        <f>Data!H53</f>
        <v>0.84099999999999997</v>
      </c>
      <c r="K86" s="35" t="e">
        <f>IF(I86="","",100*(I86-J86)/J86)</f>
        <v>#VALUE!</v>
      </c>
      <c r="L86" s="39">
        <v>2</v>
      </c>
      <c r="M86" s="36" t="e">
        <f>IF(K86="","",IF(ABS(K86)&lt;=L86/2,"PASS",IF(ABS(K86)&lt;=L86,"MARGINAL","FAIL")))</f>
        <v>#VALUE!</v>
      </c>
      <c r="N86" s="231"/>
      <c r="O86" s="4"/>
      <c r="T86" s="169"/>
    </row>
    <row r="87" spans="2:20" ht="15" hidden="1" x14ac:dyDescent="0.25">
      <c r="B87" s="227"/>
      <c r="C87" s="53" t="s">
        <v>137</v>
      </c>
      <c r="D87" s="34" t="e">
        <f>IF(H49="","",H49)</f>
        <v>#DIV/0!</v>
      </c>
      <c r="E87" s="100">
        <v>2.5</v>
      </c>
      <c r="F87" s="293" t="s">
        <v>897</v>
      </c>
      <c r="G87" s="293" t="s">
        <v>898</v>
      </c>
      <c r="H87" s="38" t="e">
        <f>IF(AND(F87="",G87=""),"",AVERAGE(F87:G87))</f>
        <v>#DIV/0!</v>
      </c>
      <c r="I87" s="44" t="s">
        <v>903</v>
      </c>
      <c r="J87" s="44">
        <f>Data!H54</f>
        <v>0.80800000000000005</v>
      </c>
      <c r="K87" s="35" t="e">
        <f>IF(I87="","",100*(I87-J87)/J87)</f>
        <v>#VALUE!</v>
      </c>
      <c r="L87" s="39">
        <v>2</v>
      </c>
      <c r="M87" s="36" t="e">
        <f>IF(K87="","",IF(ABS(K87)&lt;=L87/2,"PASS",IF(ABS(K87)&lt;=L87,"MARGINAL","FAIL")))</f>
        <v>#VALUE!</v>
      </c>
      <c r="N87" s="231"/>
      <c r="O87" s="4"/>
      <c r="T87" s="169"/>
    </row>
    <row r="88" spans="2:20" ht="15" hidden="1" x14ac:dyDescent="0.25">
      <c r="B88" s="227"/>
      <c r="C88" s="29">
        <v>15</v>
      </c>
      <c r="D88" s="34" t="e">
        <f>IF(H50="","",H50)</f>
        <v>#DIV/0!</v>
      </c>
      <c r="E88" s="100">
        <v>2.5</v>
      </c>
      <c r="F88" s="293" t="s">
        <v>899</v>
      </c>
      <c r="G88" s="293" t="s">
        <v>900</v>
      </c>
      <c r="H88" s="38" t="e">
        <f>IF(AND(F88="",G88=""),"",AVERAGE(F88:G88))</f>
        <v>#DIV/0!</v>
      </c>
      <c r="I88" s="44" t="s">
        <v>904</v>
      </c>
      <c r="J88" s="44">
        <f>Data!H55</f>
        <v>0.879</v>
      </c>
      <c r="K88" s="35" t="e">
        <f>IF(I88="","",100*(I88-J88)/J88)</f>
        <v>#VALUE!</v>
      </c>
      <c r="L88" s="39">
        <v>2</v>
      </c>
      <c r="M88" s="36" t="e">
        <f>IF(K88="","",IF(ABS(K88)&lt;=L88/2,"PASS",IF(ABS(K88)&lt;=L88,"MARGINAL","FAIL")))</f>
        <v>#VALUE!</v>
      </c>
      <c r="N88" s="231"/>
      <c r="O88" s="4"/>
    </row>
    <row r="89" spans="2:20" hidden="1" x14ac:dyDescent="0.2">
      <c r="B89" s="227"/>
      <c r="C89" s="7"/>
      <c r="D89" s="7"/>
      <c r="E89" s="288"/>
      <c r="F89" s="288"/>
      <c r="G89" s="288"/>
      <c r="H89" s="7"/>
      <c r="I89" s="7"/>
      <c r="J89" s="7"/>
      <c r="K89" s="7"/>
      <c r="L89" s="7"/>
      <c r="M89" s="7"/>
      <c r="N89" s="228"/>
      <c r="O89" s="4"/>
    </row>
    <row r="90" spans="2:20" ht="15" hidden="1" x14ac:dyDescent="0.2">
      <c r="B90" s="227"/>
      <c r="C90" s="108" t="s">
        <v>385</v>
      </c>
      <c r="D90" s="7"/>
      <c r="E90" s="288"/>
      <c r="F90" s="292" t="s">
        <v>330</v>
      </c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hidden="1" x14ac:dyDescent="0.2">
      <c r="B91" s="227"/>
      <c r="C91" s="79" t="s">
        <v>456</v>
      </c>
      <c r="D91" s="79"/>
      <c r="E91" s="300"/>
      <c r="F91" s="300"/>
      <c r="G91" s="300"/>
      <c r="H91" s="79"/>
      <c r="I91" s="79"/>
      <c r="J91" s="79"/>
      <c r="K91" s="79"/>
      <c r="L91" s="79"/>
      <c r="M91" s="79"/>
      <c r="N91" s="235"/>
      <c r="O91" s="4"/>
    </row>
    <row r="92" spans="2:20" hidden="1" x14ac:dyDescent="0.2">
      <c r="B92" s="227"/>
      <c r="C92" s="79" t="s">
        <v>254</v>
      </c>
      <c r="D92" s="79"/>
      <c r="E92" s="300"/>
      <c r="F92" s="300"/>
      <c r="G92" s="300"/>
      <c r="H92" s="79"/>
      <c r="I92" s="79"/>
      <c r="J92" s="79"/>
      <c r="K92" s="79"/>
      <c r="L92" s="79"/>
      <c r="M92" s="79"/>
      <c r="N92" s="235"/>
      <c r="O92" s="4"/>
    </row>
    <row r="93" spans="2:20" hidden="1" x14ac:dyDescent="0.2">
      <c r="B93" s="227"/>
      <c r="C93" s="79" t="s">
        <v>457</v>
      </c>
      <c r="D93" s="79"/>
      <c r="E93" s="300"/>
      <c r="F93" s="300"/>
      <c r="G93" s="300"/>
      <c r="H93" s="79"/>
      <c r="I93" s="79"/>
      <c r="J93" s="79"/>
      <c r="K93" s="79"/>
      <c r="L93" s="79"/>
      <c r="M93" s="79"/>
      <c r="N93" s="235"/>
      <c r="O93" s="4"/>
    </row>
    <row r="94" spans="2:20" hidden="1" x14ac:dyDescent="0.2">
      <c r="B94" s="227"/>
      <c r="C94" s="79" t="s">
        <v>454</v>
      </c>
      <c r="D94" s="79"/>
      <c r="E94" s="300"/>
      <c r="F94" s="300"/>
      <c r="G94" s="300"/>
      <c r="H94" s="79"/>
      <c r="I94" s="79"/>
      <c r="J94" s="79"/>
      <c r="K94" s="79"/>
      <c r="L94" s="79"/>
      <c r="M94" s="79"/>
      <c r="N94" s="235"/>
      <c r="O94" s="4"/>
    </row>
    <row r="95" spans="2:20" hidden="1" x14ac:dyDescent="0.2">
      <c r="B95" s="227"/>
      <c r="C95" s="79"/>
      <c r="D95" s="79"/>
      <c r="E95" s="300"/>
      <c r="F95" s="300"/>
      <c r="G95" s="300"/>
      <c r="H95" s="79"/>
      <c r="I95" s="79"/>
      <c r="J95" s="79"/>
      <c r="K95" s="79"/>
      <c r="L95" s="79"/>
      <c r="M95" s="79"/>
      <c r="N95" s="235"/>
      <c r="O95" s="4"/>
    </row>
    <row r="96" spans="2:20" ht="14.25" hidden="1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hidden="1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hidden="1" x14ac:dyDescent="0.2">
      <c r="B98" s="227"/>
      <c r="C98" s="31" t="s">
        <v>229</v>
      </c>
      <c r="D98" s="31" t="s">
        <v>214</v>
      </c>
      <c r="E98" s="152" t="s">
        <v>215</v>
      </c>
      <c r="F98" s="152" t="s">
        <v>450</v>
      </c>
      <c r="G98" s="145" t="s">
        <v>875</v>
      </c>
      <c r="H98" s="23" t="s">
        <v>879</v>
      </c>
      <c r="I98" s="138">
        <f>Data!S52</f>
        <v>0.23</v>
      </c>
      <c r="J98" s="127" t="e">
        <f>IF(H98="","",100*ABS(H98-I98)/I98)</f>
        <v>#VALUE!</v>
      </c>
      <c r="K98" s="127">
        <v>5</v>
      </c>
      <c r="L98" s="36" t="e">
        <f>IF(J98="","",IF(ABS(J98)&lt;=K98/2,"PASS",IF(ABS(J98)&lt;=K98,"MARGINAL","FAIL")))</f>
        <v>#VALUE!</v>
      </c>
      <c r="M98" s="139"/>
      <c r="N98" s="237"/>
      <c r="O98" s="4"/>
    </row>
    <row r="99" spans="2:20" hidden="1" x14ac:dyDescent="0.2">
      <c r="B99" s="227"/>
      <c r="C99" s="31" t="s">
        <v>211</v>
      </c>
      <c r="D99" s="128" t="s">
        <v>214</v>
      </c>
      <c r="E99" s="152" t="s">
        <v>215</v>
      </c>
      <c r="F99" s="152" t="s">
        <v>451</v>
      </c>
      <c r="G99" s="145" t="s">
        <v>876</v>
      </c>
      <c r="H99" s="23" t="s">
        <v>880</v>
      </c>
      <c r="I99" s="138">
        <f>Data!S53</f>
        <v>1.06</v>
      </c>
      <c r="J99" s="127" t="e">
        <f>IF(H99="","",100*ABS(H99-I99)/I99)</f>
        <v>#VALUE!</v>
      </c>
      <c r="K99" s="127">
        <v>5</v>
      </c>
      <c r="L99" s="36" t="e">
        <f>IF(J99="","",IF(ABS(J99)&lt;=K99/2,"PASS",IF(ABS(J99)&lt;=K99,"MARGINAL","FAIL")))</f>
        <v>#VALUE!</v>
      </c>
      <c r="M99" s="139"/>
      <c r="N99" s="237"/>
      <c r="O99" s="4"/>
    </row>
    <row r="100" spans="2:20" hidden="1" x14ac:dyDescent="0.2">
      <c r="B100" s="227"/>
      <c r="C100" s="31" t="s">
        <v>212</v>
      </c>
      <c r="D100" s="128" t="s">
        <v>215</v>
      </c>
      <c r="E100" s="152" t="s">
        <v>214</v>
      </c>
      <c r="F100" s="152" t="s">
        <v>452</v>
      </c>
      <c r="G100" s="145" t="s">
        <v>877</v>
      </c>
      <c r="H100" s="23" t="s">
        <v>881</v>
      </c>
      <c r="I100" s="138">
        <f>Data!S54</f>
        <v>0.28000000000000003</v>
      </c>
      <c r="J100" s="127" t="e">
        <f>IF(H100="","",100*ABS(H100-I100)/I100)</f>
        <v>#VALUE!</v>
      </c>
      <c r="K100" s="127">
        <v>5</v>
      </c>
      <c r="L100" s="36" t="e">
        <f>IF(J100="","",IF(ABS(J100)&lt;=K100/2,"PASS",IF(ABS(J100)&lt;=K100,"MARGINAL","FAIL")))</f>
        <v>#VALUE!</v>
      </c>
      <c r="M100" s="139"/>
      <c r="N100" s="237"/>
      <c r="O100" s="4"/>
    </row>
    <row r="101" spans="2:20" hidden="1" x14ac:dyDescent="0.2">
      <c r="B101" s="230"/>
      <c r="C101" s="31" t="s">
        <v>449</v>
      </c>
      <c r="D101" s="128" t="s">
        <v>215</v>
      </c>
      <c r="E101" s="152" t="s">
        <v>214</v>
      </c>
      <c r="F101" s="152" t="s">
        <v>453</v>
      </c>
      <c r="G101" s="145" t="s">
        <v>878</v>
      </c>
      <c r="H101" s="23" t="s">
        <v>882</v>
      </c>
      <c r="I101" s="138">
        <f>Data!S55</f>
        <v>2.35</v>
      </c>
      <c r="J101" s="127" t="e">
        <f>IF(H101="","",100*ABS(H101-I101)/I101)</f>
        <v>#VALUE!</v>
      </c>
      <c r="K101" s="127">
        <v>5</v>
      </c>
      <c r="L101" s="36" t="e">
        <f>IF(J101="","",IF(ABS(J101)&lt;=K101/2,"PASS",IF(ABS(J101)&lt;=K101,"MARGINAL","FAIL")))</f>
        <v>#VALUE!</v>
      </c>
      <c r="M101" s="80"/>
      <c r="N101" s="228"/>
      <c r="O101" s="4"/>
    </row>
    <row r="102" spans="2:20" hidden="1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21"/>
      <c r="L103" s="321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x14ac:dyDescent="0.35">
      <c r="B105" s="227"/>
      <c r="C105" s="22" t="s">
        <v>250</v>
      </c>
      <c r="D105" s="112" t="s">
        <v>543</v>
      </c>
      <c r="E105" s="288"/>
      <c r="F105" s="286" t="s">
        <v>537</v>
      </c>
      <c r="G105" s="112" t="s">
        <v>544</v>
      </c>
      <c r="H105" s="1"/>
      <c r="I105" s="22" t="s">
        <v>262</v>
      </c>
      <c r="J105" s="287" t="s">
        <v>545</v>
      </c>
      <c r="K105" s="80"/>
      <c r="L105" s="80"/>
      <c r="M105" s="80"/>
      <c r="N105" s="228"/>
      <c r="O105" s="4"/>
      <c r="T105" s="5"/>
    </row>
    <row r="106" spans="2:20" x14ac:dyDescent="0.2">
      <c r="B106" s="227"/>
      <c r="C106" s="7"/>
      <c r="D106" s="288"/>
      <c r="E106" s="288"/>
      <c r="F106" s="288"/>
      <c r="G106" s="288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x14ac:dyDescent="0.25">
      <c r="B107" s="227"/>
      <c r="C107" s="24" t="s">
        <v>123</v>
      </c>
      <c r="D107" s="133" t="s">
        <v>546</v>
      </c>
      <c r="E107" s="301"/>
      <c r="F107" s="289" t="s">
        <v>28</v>
      </c>
      <c r="G107" s="290" t="s">
        <v>547</v>
      </c>
      <c r="H107" s="7"/>
      <c r="I107" s="185" t="s">
        <v>479</v>
      </c>
      <c r="J107" s="291" t="s">
        <v>548</v>
      </c>
      <c r="K107" s="80"/>
      <c r="L107" s="80"/>
      <c r="M107" s="80"/>
      <c r="N107" s="228"/>
      <c r="O107" s="4"/>
    </row>
    <row r="108" spans="2:20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x14ac:dyDescent="0.2">
      <c r="B111" s="227"/>
      <c r="C111" s="79" t="s">
        <v>455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x14ac:dyDescent="0.2">
      <c r="B116" s="264">
        <v>1.5</v>
      </c>
      <c r="C116" s="50" t="s">
        <v>175</v>
      </c>
      <c r="D116" s="202" t="str">
        <f>IF(H$12="","",VLOOKUP(H$12,Data!$AA$32:$AG$34,3,FALSE))</f>
        <v/>
      </c>
      <c r="E116" s="145" t="s">
        <v>860</v>
      </c>
      <c r="F116" s="145" t="s">
        <v>861</v>
      </c>
      <c r="G116" s="145" t="s">
        <v>862</v>
      </c>
      <c r="H116" s="44" t="e">
        <f>IF(OR(E116&lt;&gt;"",F116&lt;&gt;"",G116&lt;&gt;""),AVERAGE(E116:G116),"")</f>
        <v>#DIV/0!</v>
      </c>
      <c r="I116" s="35" t="s">
        <v>855</v>
      </c>
      <c r="J116" s="35">
        <f>IF(C116="","",100)</f>
        <v>100</v>
      </c>
      <c r="K116" s="35" t="e">
        <f>IF(I116&lt;&gt;"",I116-J116,"")</f>
        <v>#VALUE!</v>
      </c>
      <c r="L116" s="35">
        <f>IF(C116="","",2)</f>
        <v>2</v>
      </c>
      <c r="M116" s="36" t="e">
        <f>IF(K116="","",IF(ABS(K116)&lt;=L116/2,"PASS",IF(ABS(K116)&lt;=L116,"MARGINAL","FAIL")))</f>
        <v>#VALUE!</v>
      </c>
      <c r="N116" s="231"/>
      <c r="P116" s="96" t="s">
        <v>159</v>
      </c>
    </row>
    <row r="117" spans="2:16" x14ac:dyDescent="0.2">
      <c r="B117" s="264">
        <v>2.5</v>
      </c>
      <c r="C117" s="50" t="s">
        <v>176</v>
      </c>
      <c r="D117" s="202" t="str">
        <f>IF(H$12="","",VLOOKUP(H$12,Data!$AA$32:$AG$34,4,FALSE))</f>
        <v/>
      </c>
      <c r="E117" s="294" t="s">
        <v>863</v>
      </c>
      <c r="F117" s="294" t="s">
        <v>864</v>
      </c>
      <c r="G117" s="294" t="s">
        <v>865</v>
      </c>
      <c r="H117" s="44" t="e">
        <f>IF(OR(E117&lt;&gt;"",F117&lt;&gt;"",G117&lt;&gt;""),AVERAGE(E117:G117),"")</f>
        <v>#DIV/0!</v>
      </c>
      <c r="I117" s="35" t="s">
        <v>856</v>
      </c>
      <c r="J117" s="39">
        <f>IF(C117="","",100)</f>
        <v>100</v>
      </c>
      <c r="K117" s="39" t="e">
        <f>IF(I117&lt;&gt;"",I117-J117,"")</f>
        <v>#VALUE!</v>
      </c>
      <c r="L117" s="39">
        <f>IF(C117="","",2)</f>
        <v>2</v>
      </c>
      <c r="M117" s="36" t="e">
        <f>IF(K117="","",IF(ABS(K117)&lt;=L117/2,"PASS",IF(ABS(K117)&lt;=L117,"MARGINAL","FAIL")))</f>
        <v>#VALUE!</v>
      </c>
      <c r="N117" s="231"/>
      <c r="P117" s="96" t="s">
        <v>160</v>
      </c>
    </row>
    <row r="118" spans="2:16" x14ac:dyDescent="0.2">
      <c r="B118" s="264">
        <v>2.5</v>
      </c>
      <c r="C118" s="50" t="s">
        <v>177</v>
      </c>
      <c r="D118" s="202" t="str">
        <f>IF(H$12="","",VLOOKUP(H$12,Data!$AA$32:$AG$34,5,FALSE))</f>
        <v/>
      </c>
      <c r="E118" s="145" t="s">
        <v>866</v>
      </c>
      <c r="F118" s="145" t="s">
        <v>867</v>
      </c>
      <c r="G118" s="145" t="s">
        <v>868</v>
      </c>
      <c r="H118" s="44" t="e">
        <f>IF(OR(E118&lt;&gt;"",F118&lt;&gt;"",G118&lt;&gt;""),AVERAGE(E118:G118),"")</f>
        <v>#DIV/0!</v>
      </c>
      <c r="I118" s="35" t="s">
        <v>857</v>
      </c>
      <c r="J118" s="35">
        <f>IF(C118="","",100)</f>
        <v>100</v>
      </c>
      <c r="K118" s="35" t="e">
        <f>IF(I118&lt;&gt;"",I118-J118,"")</f>
        <v>#VALUE!</v>
      </c>
      <c r="L118" s="35">
        <f>IF(C118="","",2)</f>
        <v>2</v>
      </c>
      <c r="M118" s="36" t="e">
        <f>IF(K118="","",IF(ABS(K118)&lt;=L118/2,"PASS",IF(ABS(K118)&lt;=L118,"MARGINAL","FAIL")))</f>
        <v>#VALUE!</v>
      </c>
      <c r="N118" s="231"/>
      <c r="P118" s="96" t="s">
        <v>161</v>
      </c>
    </row>
    <row r="119" spans="2:16" x14ac:dyDescent="0.2">
      <c r="B119" s="264">
        <v>2.5</v>
      </c>
      <c r="C119" s="50" t="s">
        <v>178</v>
      </c>
      <c r="D119" s="202" t="str">
        <f>IF(H$12="","",VLOOKUP(H$12,Data!$AA$32:$AG$34,6,FALSE))</f>
        <v/>
      </c>
      <c r="E119" s="145" t="s">
        <v>869</v>
      </c>
      <c r="F119" s="145" t="s">
        <v>870</v>
      </c>
      <c r="G119" s="145" t="s">
        <v>871</v>
      </c>
      <c r="H119" s="44" t="e">
        <f>IF(OR(E119&lt;&gt;"",F119&lt;&gt;"",G119&lt;&gt;""),AVERAGE(E119:G119),"")</f>
        <v>#DIV/0!</v>
      </c>
      <c r="I119" s="35" t="s">
        <v>858</v>
      </c>
      <c r="J119" s="35">
        <f>IF(C119="","",100)</f>
        <v>100</v>
      </c>
      <c r="K119" s="35" t="e">
        <f>IF(I119&lt;&gt;"",I119-J119,"")</f>
        <v>#VALUE!</v>
      </c>
      <c r="L119" s="35">
        <f>IF(C119="","",2)</f>
        <v>2</v>
      </c>
      <c r="M119" s="36" t="e">
        <f>IF(K119="","",IF(ABS(K119)&lt;=L119/2,"PASS",IF(ABS(K119)&lt;=L119,"MARGINAL","FAIL")))</f>
        <v>#VALUE!</v>
      </c>
      <c r="N119" s="231"/>
      <c r="P119" s="96" t="s">
        <v>162</v>
      </c>
    </row>
    <row r="120" spans="2:16" x14ac:dyDescent="0.2">
      <c r="B120" s="264">
        <v>2.5</v>
      </c>
      <c r="C120" s="50" t="s">
        <v>179</v>
      </c>
      <c r="D120" s="202" t="str">
        <f>IF(H$12="","",VLOOKUP(H$12,Data!$AA$32:$AG$34,7,FALSE))</f>
        <v/>
      </c>
      <c r="E120" s="145" t="s">
        <v>872</v>
      </c>
      <c r="F120" s="145" t="s">
        <v>873</v>
      </c>
      <c r="G120" s="145" t="s">
        <v>874</v>
      </c>
      <c r="H120" s="44" t="e">
        <f>IF(OR(E120&lt;&gt;"",F120&lt;&gt;"",G120&lt;&gt;""),AVERAGE(E120:G120),"")</f>
        <v>#DIV/0!</v>
      </c>
      <c r="I120" s="35" t="s">
        <v>859</v>
      </c>
      <c r="J120" s="35">
        <f>IF(C120="","",100)</f>
        <v>100</v>
      </c>
      <c r="K120" s="35" t="e">
        <f>IF(I120&lt;&gt;"",I120-J120,"")</f>
        <v>#VALUE!</v>
      </c>
      <c r="L120" s="35">
        <f>IF(C120="","",2)</f>
        <v>2</v>
      </c>
      <c r="M120" s="36" t="e">
        <f>IF(K120="","",IF(ABS(K120)&lt;=L120/2,"PASS",IF(ABS(K120)&lt;=L120,"MARGINAL","FAIL")))</f>
        <v>#VALUE!</v>
      </c>
      <c r="N120" s="231"/>
      <c r="P120" s="96" t="s">
        <v>163</v>
      </c>
    </row>
    <row r="121" spans="2:16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21"/>
      <c r="L122" s="321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x14ac:dyDescent="0.2">
      <c r="B131" s="227"/>
      <c r="C131" s="97" t="s">
        <v>166</v>
      </c>
      <c r="D131" s="31" t="s">
        <v>169</v>
      </c>
      <c r="E131" s="112" t="s">
        <v>939</v>
      </c>
      <c r="F131" s="112" t="s">
        <v>940</v>
      </c>
      <c r="G131" s="59" t="s">
        <v>941</v>
      </c>
      <c r="H131" s="59" t="s">
        <v>942</v>
      </c>
      <c r="I131" s="35">
        <f t="shared" ref="I131:I137" si="0">IF(C131&lt;&gt;"",2,"")</f>
        <v>2</v>
      </c>
      <c r="J131" s="36" t="e">
        <f t="shared" ref="J131:J137" si="1">IF(OR(C131="",E131="",F131="",G131="",H131=""),"",IF(AND(ABS(E131)&lt;=I131,ABS(F131)&lt;=I131,ABS(G131)&lt;=I131,ABS(H131)&lt;=I131),"PASS","FAIL"))</f>
        <v>#VALUE!</v>
      </c>
      <c r="K131" s="90" t="s">
        <v>168</v>
      </c>
      <c r="L131" s="80"/>
      <c r="M131" s="7"/>
      <c r="N131" s="228"/>
    </row>
    <row r="132" spans="2:14" x14ac:dyDescent="0.2">
      <c r="B132" s="227"/>
      <c r="C132" s="43">
        <v>6</v>
      </c>
      <c r="D132" s="43" t="s">
        <v>165</v>
      </c>
      <c r="E132" s="112" t="s">
        <v>943</v>
      </c>
      <c r="F132" s="59" t="s">
        <v>944</v>
      </c>
      <c r="G132" s="59" t="s">
        <v>945</v>
      </c>
      <c r="H132" s="59" t="s">
        <v>946</v>
      </c>
      <c r="I132" s="35">
        <f t="shared" si="0"/>
        <v>2</v>
      </c>
      <c r="J132" s="36" t="e">
        <f>IF(OR(C132="",E132="",F132="",G132="",H132=""),"",IF(AND(ABS(E132)&lt;=I132,ABS(F132)&lt;=I132,ABS(G132)&lt;=I132,ABS(H132)&lt;=I132),"PASS","FAIL"))</f>
        <v>#VALUE!</v>
      </c>
      <c r="K132" s="90" t="s">
        <v>170</v>
      </c>
      <c r="L132" s="1"/>
      <c r="M132" s="7"/>
      <c r="N132" s="228"/>
    </row>
    <row r="133" spans="2:14" x14ac:dyDescent="0.2">
      <c r="B133" s="227"/>
      <c r="C133" s="43">
        <v>10</v>
      </c>
      <c r="D133" s="43" t="s">
        <v>165</v>
      </c>
      <c r="E133" s="59" t="s">
        <v>947</v>
      </c>
      <c r="F133" s="59" t="s">
        <v>948</v>
      </c>
      <c r="G133" s="59" t="s">
        <v>949</v>
      </c>
      <c r="H133" s="59" t="s">
        <v>950</v>
      </c>
      <c r="I133" s="35">
        <f t="shared" si="0"/>
        <v>2</v>
      </c>
      <c r="J133" s="36" t="e">
        <f t="shared" si="1"/>
        <v>#VALUE!</v>
      </c>
      <c r="K133" s="90" t="s">
        <v>170</v>
      </c>
      <c r="L133" s="7"/>
      <c r="M133" s="7"/>
      <c r="N133" s="228"/>
    </row>
    <row r="134" spans="2:14" x14ac:dyDescent="0.2">
      <c r="B134" s="227"/>
      <c r="C134" s="43">
        <v>15</v>
      </c>
      <c r="D134" s="43" t="s">
        <v>165</v>
      </c>
      <c r="E134" s="59" t="s">
        <v>951</v>
      </c>
      <c r="F134" s="59" t="s">
        <v>952</v>
      </c>
      <c r="G134" s="59" t="s">
        <v>953</v>
      </c>
      <c r="H134" s="59" t="s">
        <v>954</v>
      </c>
      <c r="I134" s="35">
        <f t="shared" si="0"/>
        <v>2</v>
      </c>
      <c r="J134" s="36" t="e">
        <f t="shared" si="1"/>
        <v>#VALUE!</v>
      </c>
      <c r="K134" s="90" t="s">
        <v>170</v>
      </c>
      <c r="L134" s="7"/>
      <c r="M134" s="7"/>
      <c r="N134" s="228"/>
    </row>
    <row r="135" spans="2:14" x14ac:dyDescent="0.2">
      <c r="B135" s="227"/>
      <c r="C135" s="43">
        <v>6</v>
      </c>
      <c r="D135" s="43" t="s">
        <v>167</v>
      </c>
      <c r="E135" s="110" t="s">
        <v>955</v>
      </c>
      <c r="F135" s="110" t="s">
        <v>956</v>
      </c>
      <c r="G135" s="110" t="s">
        <v>957</v>
      </c>
      <c r="H135" s="110" t="s">
        <v>958</v>
      </c>
      <c r="I135" s="35">
        <f t="shared" si="0"/>
        <v>2</v>
      </c>
      <c r="J135" s="36" t="e">
        <f t="shared" si="1"/>
        <v>#VALUE!</v>
      </c>
      <c r="K135" s="90" t="s">
        <v>171</v>
      </c>
      <c r="L135" s="1"/>
      <c r="M135" s="7"/>
      <c r="N135" s="228"/>
    </row>
    <row r="136" spans="2:14" x14ac:dyDescent="0.2">
      <c r="B136" s="227"/>
      <c r="C136" s="43">
        <v>10</v>
      </c>
      <c r="D136" s="43" t="s">
        <v>167</v>
      </c>
      <c r="E136" s="110" t="s">
        <v>959</v>
      </c>
      <c r="F136" s="110" t="s">
        <v>960</v>
      </c>
      <c r="G136" s="110" t="s">
        <v>961</v>
      </c>
      <c r="H136" s="110" t="s">
        <v>962</v>
      </c>
      <c r="I136" s="35">
        <f t="shared" si="0"/>
        <v>2</v>
      </c>
      <c r="J136" s="36" t="e">
        <f t="shared" si="1"/>
        <v>#VALUE!</v>
      </c>
      <c r="K136" s="90" t="s">
        <v>171</v>
      </c>
      <c r="L136" s="7"/>
      <c r="M136" s="7"/>
      <c r="N136" s="228"/>
    </row>
    <row r="137" spans="2:14" x14ac:dyDescent="0.2">
      <c r="B137" s="227"/>
      <c r="C137" s="43">
        <v>15</v>
      </c>
      <c r="D137" s="43" t="s">
        <v>167</v>
      </c>
      <c r="E137" s="110" t="s">
        <v>963</v>
      </c>
      <c r="F137" s="110" t="s">
        <v>964</v>
      </c>
      <c r="G137" s="110" t="s">
        <v>965</v>
      </c>
      <c r="H137" s="110" t="s">
        <v>966</v>
      </c>
      <c r="I137" s="35">
        <f t="shared" si="0"/>
        <v>2</v>
      </c>
      <c r="J137" s="36" t="e">
        <f t="shared" si="1"/>
        <v>#VALUE!</v>
      </c>
      <c r="K137" s="90" t="s">
        <v>171</v>
      </c>
      <c r="L137" s="7"/>
      <c r="M137" s="7"/>
      <c r="N137" s="228"/>
    </row>
    <row r="138" spans="2:14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x14ac:dyDescent="0.2">
      <c r="B145" s="227"/>
      <c r="C145" s="97" t="s">
        <v>166</v>
      </c>
      <c r="D145" s="31" t="s">
        <v>169</v>
      </c>
      <c r="E145" s="112" t="s">
        <v>967</v>
      </c>
      <c r="F145" s="59" t="s">
        <v>968</v>
      </c>
      <c r="G145" s="59" t="s">
        <v>969</v>
      </c>
      <c r="H145" s="59" t="s">
        <v>970</v>
      </c>
      <c r="I145" s="35">
        <v>1</v>
      </c>
      <c r="J145" s="36" t="e">
        <f>IF(OR(C145="",E145="",F145="",G145="",H145=""),"",IF(AND(ABS(E145)&lt;=I145,ABS(F145)&lt;=I145,ABS(G145)&lt;=I145,ABS(H145)&lt;=I145),"PASS","FAIL"))</f>
        <v>#VALUE!</v>
      </c>
      <c r="K145" s="219" t="s">
        <v>168</v>
      </c>
      <c r="L145" s="80"/>
      <c r="M145" s="80"/>
      <c r="N145" s="228"/>
    </row>
    <row r="146" spans="2:17" x14ac:dyDescent="0.2">
      <c r="B146" s="227"/>
      <c r="C146" s="43">
        <v>6</v>
      </c>
      <c r="D146" s="43" t="s">
        <v>165</v>
      </c>
      <c r="E146" s="112" t="s">
        <v>971</v>
      </c>
      <c r="F146" s="59" t="s">
        <v>972</v>
      </c>
      <c r="G146" s="59" t="s">
        <v>973</v>
      </c>
      <c r="H146" s="59" t="s">
        <v>974</v>
      </c>
      <c r="I146" s="35">
        <f>IF(C146&lt;&gt;"",2,"")</f>
        <v>2</v>
      </c>
      <c r="J146" s="36" t="e">
        <f>IF(OR(C146="",E146="",F146="",G146="",H146=""),"",IF(AND(ABS(E146)&lt;=I146,ABS(F146)&lt;=I146,ABS(G146)&lt;=I146,ABS(H146)&lt;=I146),"PASS","FAIL"))</f>
        <v>#VALUE!</v>
      </c>
      <c r="K146" s="219" t="s">
        <v>170</v>
      </c>
      <c r="L146" s="80"/>
      <c r="M146" s="80"/>
      <c r="N146" s="228"/>
    </row>
    <row r="147" spans="2:17" x14ac:dyDescent="0.2">
      <c r="B147" s="227"/>
      <c r="C147" s="43">
        <v>6</v>
      </c>
      <c r="D147" s="43" t="s">
        <v>167</v>
      </c>
      <c r="E147" s="110" t="s">
        <v>975</v>
      </c>
      <c r="F147" s="110" t="s">
        <v>976</v>
      </c>
      <c r="G147" s="110" t="s">
        <v>977</v>
      </c>
      <c r="H147" s="110" t="s">
        <v>978</v>
      </c>
      <c r="I147" s="35">
        <f>IF(C147&lt;&gt;"",2,"")</f>
        <v>2</v>
      </c>
      <c r="J147" s="36" t="e">
        <f>IF(OR(C147="",E147="",F147="",G147="",H147=""),"",IF(AND(ABS(E147)&lt;=I147,ABS(F147)&lt;=I147,ABS(G147)&lt;=I147,ABS(H147)&lt;=I147),"PASS","FAIL"))</f>
        <v>#VALUE!</v>
      </c>
      <c r="K147" s="219" t="s">
        <v>171</v>
      </c>
      <c r="L147" s="80"/>
      <c r="M147" s="80"/>
      <c r="N147" s="228"/>
    </row>
    <row r="148" spans="2:17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x14ac:dyDescent="0.2">
      <c r="B161" s="227"/>
      <c r="C161" s="43">
        <v>6</v>
      </c>
      <c r="D161" s="112" t="s">
        <v>1019</v>
      </c>
      <c r="E161" s="59" t="s">
        <v>1020</v>
      </c>
      <c r="F161" s="59" t="s">
        <v>1021</v>
      </c>
      <c r="G161" s="59" t="s">
        <v>1022</v>
      </c>
      <c r="H161" s="112" t="s">
        <v>1023</v>
      </c>
      <c r="I161" s="59" t="s">
        <v>1024</v>
      </c>
      <c r="J161" s="35">
        <v>1</v>
      </c>
      <c r="K161" s="35">
        <v>20</v>
      </c>
      <c r="L161" s="36" t="e">
        <f>IF(OR(C161="",D161="",E161="",F161="",G161="",H161="",I161=""),"",IF(AND(ABS(D161)&lt;=J161,ABS(E161)&lt;=J161,ABS(F161)&lt;=J161,ABS(G161)&lt;=J161,ABS(H161)&lt;=K161,ABS(I161)&lt;=K161),"PASS","FAIL"))</f>
        <v>#VALUE!</v>
      </c>
      <c r="M161" s="7"/>
      <c r="N161" s="228"/>
    </row>
    <row r="162" spans="2:16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x14ac:dyDescent="0.2">
      <c r="B170" s="227"/>
      <c r="C170" s="32">
        <v>6</v>
      </c>
      <c r="D170" s="112" t="s">
        <v>979</v>
      </c>
      <c r="E170" s="112" t="s">
        <v>981</v>
      </c>
      <c r="F170" s="112" t="s">
        <v>980</v>
      </c>
      <c r="G170" s="112" t="s">
        <v>982</v>
      </c>
      <c r="H170" s="112" t="s">
        <v>983</v>
      </c>
      <c r="I170" s="112" t="s">
        <v>984</v>
      </c>
      <c r="J170" s="133" t="s">
        <v>985</v>
      </c>
      <c r="K170" s="105" t="e">
        <f>IF(OR(D170:I170=""),"",IF(AND(ABS(D170)&lt;=D171,ABS(E170)&lt;=E171,ABS(F170)&lt;=F171,ABS(G170)&lt;=G171,ABS(H170)&lt;=H171,ABS(I170)&lt;=I171,J170="NO"),"PASS","FAIL"))</f>
        <v>#VALUE!</v>
      </c>
      <c r="L170" s="107"/>
      <c r="M170" s="107"/>
      <c r="N170" s="236"/>
    </row>
    <row r="171" spans="2:16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x14ac:dyDescent="0.2">
      <c r="B173" s="227"/>
      <c r="C173" s="7" t="s">
        <v>93</v>
      </c>
      <c r="D173" s="7"/>
      <c r="E173" s="7"/>
      <c r="F173" s="312"/>
      <c r="G173" s="313"/>
      <c r="H173" s="313"/>
      <c r="I173" s="313"/>
      <c r="J173" s="313"/>
      <c r="K173" s="313"/>
      <c r="L173" s="314"/>
      <c r="M173" s="7"/>
      <c r="N173" s="228"/>
      <c r="P173" s="96"/>
    </row>
    <row r="174" spans="2:16" x14ac:dyDescent="0.2">
      <c r="B174" s="227"/>
      <c r="C174" s="7"/>
      <c r="D174" s="7"/>
      <c r="E174" s="7"/>
      <c r="F174" s="315"/>
      <c r="G174" s="316"/>
      <c r="H174" s="316"/>
      <c r="I174" s="316"/>
      <c r="J174" s="316"/>
      <c r="K174" s="316"/>
      <c r="L174" s="317"/>
      <c r="M174" s="7"/>
      <c r="N174" s="228"/>
    </row>
    <row r="175" spans="2:16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x14ac:dyDescent="0.2">
      <c r="B186" s="227"/>
      <c r="C186" s="164" t="s">
        <v>986</v>
      </c>
      <c r="D186" s="34">
        <v>4</v>
      </c>
      <c r="E186" s="34">
        <v>0.1</v>
      </c>
      <c r="F186" s="67" t="e">
        <f>IF(C186="","",IF(ABS(C186-D186)&lt;=E186,"PASS","FAIL"))</f>
        <v>#VALUE!</v>
      </c>
      <c r="G186" s="112" t="s">
        <v>987</v>
      </c>
      <c r="H186" s="35">
        <v>10</v>
      </c>
      <c r="I186" s="67" t="e">
        <f>IF(G186="","",IF(ABS(G186)&lt;=H186,"PASS","FAIL"))</f>
        <v>#VALUE!</v>
      </c>
      <c r="J186" s="195" t="s">
        <v>988</v>
      </c>
      <c r="K186" s="41"/>
      <c r="L186" s="36" t="e">
        <f>IF(OR(F186="",I186="",J186=""),"",IF(AND(F186="PASS",I186="PASS",J186="PASS"),"PASS","FAIL"))</f>
        <v>#VALUE!</v>
      </c>
      <c r="M186" s="7"/>
      <c r="N186" s="228"/>
    </row>
    <row r="187" spans="2:14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x14ac:dyDescent="0.2">
      <c r="B188" s="227"/>
      <c r="C188" s="7" t="s">
        <v>97</v>
      </c>
      <c r="D188" s="312"/>
      <c r="E188" s="313"/>
      <c r="F188" s="313"/>
      <c r="G188" s="313"/>
      <c r="H188" s="313"/>
      <c r="I188" s="313"/>
      <c r="J188" s="313"/>
      <c r="K188" s="313"/>
      <c r="L188" s="314"/>
      <c r="M188" s="7"/>
      <c r="N188" s="228"/>
    </row>
    <row r="189" spans="2:14" x14ac:dyDescent="0.2">
      <c r="B189" s="227"/>
      <c r="C189" s="7"/>
      <c r="D189" s="315"/>
      <c r="E189" s="316"/>
      <c r="F189" s="316"/>
      <c r="G189" s="316"/>
      <c r="H189" s="316"/>
      <c r="I189" s="316"/>
      <c r="J189" s="316"/>
      <c r="K189" s="316"/>
      <c r="L189" s="317"/>
      <c r="M189" s="7"/>
      <c r="N189" s="228"/>
    </row>
    <row r="190" spans="2:14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x14ac:dyDescent="0.2">
      <c r="B198" s="227"/>
      <c r="C198" s="32">
        <v>6</v>
      </c>
      <c r="D198" s="133" t="s">
        <v>989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x14ac:dyDescent="0.2">
      <c r="B206" s="227"/>
      <c r="C206" s="32">
        <v>6</v>
      </c>
      <c r="D206" s="133" t="s">
        <v>990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302" t="s">
        <v>530</v>
      </c>
      <c r="M213" s="303"/>
      <c r="N213" s="228"/>
    </row>
    <row r="214" spans="2:17" x14ac:dyDescent="0.2">
      <c r="B214" s="227"/>
      <c r="C214" s="32">
        <v>6</v>
      </c>
      <c r="D214" s="145" t="s">
        <v>991</v>
      </c>
      <c r="E214" s="44">
        <f>Data!AA52</f>
        <v>0.75</v>
      </c>
      <c r="F214" s="164" t="s">
        <v>992</v>
      </c>
      <c r="G214" s="44">
        <f>Data!AB52</f>
        <v>1</v>
      </c>
      <c r="H214" s="112" t="s">
        <v>993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302" t="s">
        <v>529</v>
      </c>
      <c r="M214" s="303"/>
      <c r="N214" s="228"/>
    </row>
    <row r="215" spans="2:17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x14ac:dyDescent="0.2">
      <c r="B223" s="230"/>
      <c r="C223" s="80"/>
      <c r="D223" s="185" t="s">
        <v>282</v>
      </c>
      <c r="E223" s="112" t="s">
        <v>994</v>
      </c>
      <c r="F223" s="112" t="s">
        <v>995</v>
      </c>
      <c r="G223" s="112" t="s">
        <v>997</v>
      </c>
      <c r="H223" s="112" t="s">
        <v>996</v>
      </c>
      <c r="I223" s="112" t="s">
        <v>998</v>
      </c>
      <c r="J223" s="242">
        <v>0</v>
      </c>
      <c r="K223" s="242">
        <v>1</v>
      </c>
      <c r="L223" s="80"/>
      <c r="M223" s="80"/>
      <c r="N223" s="228"/>
      <c r="O223" s="4"/>
    </row>
    <row r="224" spans="2:17" x14ac:dyDescent="0.2">
      <c r="B224" s="230"/>
      <c r="C224" s="80"/>
      <c r="D224" s="185" t="s">
        <v>283</v>
      </c>
      <c r="E224" s="112" t="s">
        <v>999</v>
      </c>
      <c r="F224" s="112" t="s">
        <v>1000</v>
      </c>
      <c r="G224" s="112" t="s">
        <v>1002</v>
      </c>
      <c r="H224" s="112" t="s">
        <v>1001</v>
      </c>
      <c r="I224" s="112" t="s">
        <v>1003</v>
      </c>
      <c r="J224" s="242">
        <v>0</v>
      </c>
      <c r="K224" s="242">
        <v>1</v>
      </c>
      <c r="L224" s="80"/>
      <c r="M224" s="80"/>
      <c r="N224" s="228"/>
      <c r="O224" s="4"/>
    </row>
    <row r="225" spans="2:15" x14ac:dyDescent="0.2">
      <c r="B225" s="230"/>
      <c r="C225" s="80"/>
      <c r="D225" s="185" t="s">
        <v>230</v>
      </c>
      <c r="E225" s="112" t="s">
        <v>1004</v>
      </c>
      <c r="F225" s="112" t="s">
        <v>1005</v>
      </c>
      <c r="G225" s="112" t="s">
        <v>1007</v>
      </c>
      <c r="H225" s="112" t="s">
        <v>1006</v>
      </c>
      <c r="I225" s="112" t="s">
        <v>1008</v>
      </c>
      <c r="J225" s="242">
        <v>15</v>
      </c>
      <c r="K225" s="242">
        <v>1</v>
      </c>
      <c r="L225" s="80"/>
      <c r="M225" s="80"/>
      <c r="N225" s="228"/>
      <c r="O225" s="4"/>
    </row>
    <row r="226" spans="2:15" x14ac:dyDescent="0.2">
      <c r="B226" s="230"/>
      <c r="C226" s="80"/>
      <c r="D226" s="185" t="s">
        <v>231</v>
      </c>
      <c r="E226" s="112" t="s">
        <v>1009</v>
      </c>
      <c r="F226" s="112" t="s">
        <v>1010</v>
      </c>
      <c r="G226" s="112" t="s">
        <v>1012</v>
      </c>
      <c r="H226" s="112" t="s">
        <v>1011</v>
      </c>
      <c r="I226" s="112" t="s">
        <v>1013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x14ac:dyDescent="0.2">
      <c r="B227" s="230"/>
      <c r="C227" s="1"/>
      <c r="D227" s="185" t="s">
        <v>234</v>
      </c>
      <c r="E227" s="131" t="e">
        <f t="array" ref="E227">IF(OR(E223:E226=""),"",IF(AND(E226="Pass",ABS(E225-$J$225)&lt;=$K$225,ABS(E223)&lt;=$K$223,ABS(E224)&lt;=$K$224),"PASS","FAIL"))</f>
        <v>#VALUE!</v>
      </c>
      <c r="F227" s="131" t="e">
        <f t="array" ref="F227">IF(OR(F223:F226=""),"",IF(AND(F226="Pass",ABS(F225-$J$225)&lt;=$K$225,ABS(F223)&lt;=$K$223,ABS(F224)&lt;=$K$224),"PASS","FAIL"))</f>
        <v>#VALUE!</v>
      </c>
      <c r="G227" s="131" t="e">
        <f t="array" ref="G227">IF(OR(G223:G226=""),"",IF(AND(G226="Pass",ABS(G225-$J$225)&lt;=$K$225,ABS(G223)&lt;=$K$223,ABS(G224)&lt;=$K$224),"PASS","FAIL"))</f>
        <v>#VALUE!</v>
      </c>
      <c r="H227" s="131" t="e">
        <f t="array" ref="H227">IF(OR(H223:H226=""),"",IF(AND(H226="Pass",ABS(H225-$J$225)&lt;=$K$225,ABS(H223)&lt;=$K$223,ABS(H224)&lt;=$K$224),"PASS","FAIL"))</f>
        <v>#VALUE!</v>
      </c>
      <c r="I227" s="131" t="e">
        <f>IF(OR(I223:I226=""),"",IF(AND(I226="Pass",ABS(I225-$J$225)&lt;=$K$225,ABS(I223)&lt;=$K$223,ABS(I224)&lt;=$K$224),"PASS","FAIL"))</f>
        <v>#VALUE!</v>
      </c>
      <c r="J227" s="220"/>
      <c r="K227" s="80"/>
      <c r="L227" s="80"/>
      <c r="M227" s="80"/>
      <c r="N227" s="228"/>
      <c r="O227" s="4"/>
    </row>
    <row r="228" spans="2:15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x14ac:dyDescent="0.2">
      <c r="B230" s="230"/>
      <c r="C230" s="80"/>
      <c r="D230" s="244" t="s">
        <v>362</v>
      </c>
      <c r="E230" s="112" t="s">
        <v>1014</v>
      </c>
      <c r="F230" s="175">
        <v>4.5</v>
      </c>
      <c r="G230" s="174" t="e">
        <f>IF(E230="","",IF(ABS(E230)&lt;=F230,"PASS","FAIL"))</f>
        <v>#VALUE!</v>
      </c>
      <c r="H230" s="80"/>
      <c r="I230" s="80"/>
      <c r="J230" s="80"/>
      <c r="K230" s="80"/>
      <c r="L230" s="80"/>
      <c r="M230" s="80"/>
      <c r="N230" s="228"/>
      <c r="O230" s="4"/>
    </row>
    <row r="231" spans="2:15" x14ac:dyDescent="0.2">
      <c r="B231" s="230"/>
      <c r="C231" s="80"/>
      <c r="D231" s="244" t="s">
        <v>363</v>
      </c>
      <c r="E231" s="112" t="s">
        <v>1015</v>
      </c>
      <c r="F231" s="175">
        <v>4.5</v>
      </c>
      <c r="G231" s="174" t="e">
        <f>IF(E231="","",IF(ABS(E231)&lt;=F231,"PASS","FAIL"))</f>
        <v>#VALUE!</v>
      </c>
      <c r="H231" s="80"/>
      <c r="I231" s="80"/>
      <c r="J231" s="80"/>
      <c r="K231" s="80"/>
      <c r="L231" s="80"/>
      <c r="M231" s="80"/>
      <c r="N231" s="228"/>
      <c r="O231" s="4"/>
    </row>
    <row r="232" spans="2:15" x14ac:dyDescent="0.2">
      <c r="B232" s="230"/>
      <c r="C232" s="80"/>
      <c r="D232" s="244" t="s">
        <v>364</v>
      </c>
      <c r="E232" s="112" t="s">
        <v>1016</v>
      </c>
      <c r="F232" s="175">
        <v>4.5</v>
      </c>
      <c r="G232" s="174" t="e">
        <f>IF(E232="","",IF(ABS(E232)&lt;=F232,"PASS","FAIL"))</f>
        <v>#VALUE!</v>
      </c>
      <c r="H232" s="159"/>
      <c r="I232" s="80"/>
      <c r="J232" s="80"/>
      <c r="K232" s="80"/>
      <c r="L232" s="80"/>
      <c r="M232" s="80"/>
      <c r="N232" s="228"/>
      <c r="O232" s="4"/>
    </row>
    <row r="233" spans="2:15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x14ac:dyDescent="0.2">
      <c r="B235" s="230"/>
      <c r="C235" s="80"/>
      <c r="D235" s="244" t="s">
        <v>492</v>
      </c>
      <c r="E235" s="112" t="s">
        <v>1017</v>
      </c>
      <c r="F235" s="112" t="s">
        <v>1018</v>
      </c>
      <c r="G235" s="175">
        <v>18</v>
      </c>
      <c r="H235" s="152">
        <v>2</v>
      </c>
      <c r="I235" s="174" t="e">
        <f>IF(OR(E235="",F235=""),"",IF(OR(ABS(E235-G235)&gt;H235,ABS(F235-G235)&gt;H235),"FAIL","PASS"))</f>
        <v>#VALUE!</v>
      </c>
      <c r="J235" s="267" t="s">
        <v>494</v>
      </c>
      <c r="K235" s="80"/>
      <c r="L235" s="80"/>
      <c r="M235" s="80"/>
      <c r="N235" s="228"/>
      <c r="O235" s="4"/>
    </row>
    <row r="236" spans="2:15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x14ac:dyDescent="0.2">
      <c r="B237" s="230"/>
      <c r="C237" s="118" t="s">
        <v>97</v>
      </c>
      <c r="D237" s="312"/>
      <c r="E237" s="313"/>
      <c r="F237" s="313"/>
      <c r="G237" s="313"/>
      <c r="H237" s="313"/>
      <c r="I237" s="313"/>
      <c r="J237" s="313"/>
      <c r="K237" s="313"/>
      <c r="L237" s="314"/>
      <c r="M237" s="80"/>
      <c r="N237" s="228"/>
      <c r="O237" s="4"/>
    </row>
    <row r="238" spans="2:15" x14ac:dyDescent="0.2">
      <c r="B238" s="230"/>
      <c r="C238" s="118"/>
      <c r="D238" s="315"/>
      <c r="E238" s="316"/>
      <c r="F238" s="316"/>
      <c r="G238" s="316"/>
      <c r="H238" s="316"/>
      <c r="I238" s="316"/>
      <c r="J238" s="316"/>
      <c r="K238" s="316"/>
      <c r="L238" s="317"/>
      <c r="M238" s="80"/>
      <c r="N238" s="228"/>
      <c r="O238" s="4"/>
    </row>
    <row r="239" spans="2:15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21"/>
      <c r="L240" s="321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271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164" t="s">
        <v>1025</v>
      </c>
      <c r="G251" s="84" t="e">
        <f>IF(F251&lt;&gt;"",F251-F252,"")</f>
        <v>#VALUE!</v>
      </c>
      <c r="H251" s="33" t="s">
        <v>1026</v>
      </c>
      <c r="I251" s="84" t="e">
        <f>IF(H251&lt;&gt;"",H251-H252,"")</f>
        <v>#VALUE!</v>
      </c>
      <c r="J251" s="33" t="s">
        <v>1027</v>
      </c>
      <c r="K251" s="84" t="e">
        <f>IF(J251&lt;&gt;"",J251-J252,"")</f>
        <v>#VALUE!</v>
      </c>
      <c r="L251" s="84">
        <v>0.2</v>
      </c>
      <c r="M251" s="105" t="e">
        <f>IF(OR(G251="",I251="",K251=""),"",IF(MAX(ABS(G251),ABS(I251),ABS(K251))&lt;=L251,"PASS","FAIL"))</f>
        <v>#VALUE!</v>
      </c>
      <c r="N251" s="236"/>
      <c r="O251" s="4"/>
    </row>
    <row r="252" spans="2:15" hidden="1" x14ac:dyDescent="0.2">
      <c r="B252" s="227"/>
      <c r="C252" s="79"/>
      <c r="D252" s="79"/>
      <c r="E252" s="116"/>
      <c r="F252" s="87" t="str">
        <f>IF(H12="","",HLOOKUP(H12,Data!B61:G65,2,FALSE))</f>
        <v/>
      </c>
      <c r="G252" s="79"/>
      <c r="H252" s="87" t="str">
        <f>IF(H12="","",HLOOKUP(H12,Data!B61:G65,3,FALSE))</f>
        <v/>
      </c>
      <c r="I252" s="79"/>
      <c r="J252" s="87" t="str">
        <f>IF(H12="","",HLOOKUP(H12,Data!B61:G65,4,FALSE))</f>
        <v/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164" t="s">
        <v>1028</v>
      </c>
      <c r="G255" s="33" t="s">
        <v>1029</v>
      </c>
      <c r="H255" s="33" t="s">
        <v>1030</v>
      </c>
      <c r="I255" s="84">
        <v>0.2</v>
      </c>
      <c r="J255" s="105" t="e">
        <f>IF(OR(F255="",G255="",H255=""),"",IF(MAX(ABS(F255),ABS(G255),ABS(H255))&lt;=I255,"PASS","FAIL"))</f>
        <v>#VALUE!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164" t="s">
        <v>1031</v>
      </c>
      <c r="G259" s="33" t="s">
        <v>1032</v>
      </c>
      <c r="H259" s="33" t="s">
        <v>1033</v>
      </c>
      <c r="I259" s="84">
        <v>0.2</v>
      </c>
      <c r="J259" s="105" t="e">
        <f>IF(OR(F259="",G259="",H259=""),"",IF(MAX(ABS(F259),ABS(G259),ABS(H259))&lt;=I259,"PASS","FAIL"))</f>
        <v>#VALUE!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164" t="s">
        <v>1034</v>
      </c>
      <c r="G263" s="33" t="s">
        <v>1035</v>
      </c>
      <c r="H263" s="33" t="s">
        <v>1036</v>
      </c>
      <c r="I263" s="84">
        <v>0.2</v>
      </c>
      <c r="J263" s="105" t="e">
        <f>IF(OR(F263="",G263="",H263=""),"",IF(MAX(ABS(F263),ABS(G263),ABS(H263))&lt;=I263,"PASS","FAIL"))</f>
        <v>#VALUE!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 t="s">
        <v>1037</v>
      </c>
      <c r="G267" s="164" t="s">
        <v>1038</v>
      </c>
      <c r="H267" s="119" t="s">
        <v>166</v>
      </c>
      <c r="I267" s="84">
        <v>0.2</v>
      </c>
      <c r="J267" s="105" t="e">
        <f>IF(OR(F267="",G267=""),"",IF(MAX(ABS(F267),ABS(G267))&lt;=I267,"PASS","FAIL"))</f>
        <v>#VALUE!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164" t="s">
        <v>1039</v>
      </c>
      <c r="H271" s="164" t="s">
        <v>1040</v>
      </c>
      <c r="I271" s="84">
        <v>0.2</v>
      </c>
      <c r="J271" s="105" t="e">
        <f>IF(OR(G271="",H271=""),"",IF(MAX(ABS(G271),ABS(H271))&lt;=I271,"PASS","FAIL"))</f>
        <v>#VALUE!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21"/>
      <c r="L273" s="321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164" t="s">
        <v>1041</v>
      </c>
      <c r="F282" s="50">
        <v>1.6</v>
      </c>
      <c r="G282" s="50">
        <v>0.2</v>
      </c>
      <c r="H282" s="105" t="e">
        <f>IF(E282="","",IF(ABS(E282-F282)&lt;=G282,"PASS","FAIL"))</f>
        <v>#VALUE!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164" t="s">
        <v>1042</v>
      </c>
      <c r="F283" s="50">
        <v>0.8</v>
      </c>
      <c r="G283" s="50">
        <v>0.2</v>
      </c>
      <c r="H283" s="105" t="e">
        <f>IF(E283="","",IF(ABS(E283-F283)&lt;=G283,"PASS","FAIL"))</f>
        <v>#VALUE!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164" t="s">
        <v>1043</v>
      </c>
      <c r="F284" s="50">
        <v>5.0999999999999996</v>
      </c>
      <c r="G284" s="50">
        <v>0.2</v>
      </c>
      <c r="H284" s="105" t="e">
        <f>IF(E284="","",IF(ABS(E284-F284)&lt;=G284,"PASS","FAIL"))</f>
        <v>#VALUE!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164" t="s">
        <v>1044</v>
      </c>
      <c r="F285" s="50">
        <v>0.17</v>
      </c>
      <c r="G285" s="50">
        <v>0.02</v>
      </c>
      <c r="H285" s="105" t="e">
        <f>IF(E285="","",IF(ABS(E285-F285)&lt;=G285,"PASS","FAIL"))</f>
        <v>#VALUE!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1045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1046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18"/>
      <c r="F290" s="325"/>
      <c r="G290" s="325"/>
      <c r="H290" s="325"/>
      <c r="I290" s="325"/>
      <c r="J290" s="325"/>
      <c r="K290" s="325"/>
      <c r="L290" s="325"/>
      <c r="M290" s="326"/>
      <c r="N290" s="247"/>
      <c r="O290" s="4"/>
    </row>
    <row r="291" spans="2:16" hidden="1" x14ac:dyDescent="0.2">
      <c r="B291" s="227"/>
      <c r="C291" s="79"/>
      <c r="D291" s="79"/>
      <c r="E291" s="318"/>
      <c r="F291" s="319"/>
      <c r="G291" s="319"/>
      <c r="H291" s="319"/>
      <c r="I291" s="319"/>
      <c r="J291" s="319"/>
      <c r="K291" s="319"/>
      <c r="L291" s="319"/>
      <c r="M291" s="320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21"/>
      <c r="L293" s="321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112" t="s">
        <v>1047</v>
      </c>
      <c r="E305" s="59" t="s">
        <v>1048</v>
      </c>
      <c r="F305" s="59" t="s">
        <v>1049</v>
      </c>
      <c r="G305" s="59" t="s">
        <v>1050</v>
      </c>
      <c r="H305" s="33" t="s">
        <v>1051</v>
      </c>
      <c r="I305" s="21" t="s">
        <v>1052</v>
      </c>
      <c r="J305" s="105" t="e">
        <f t="array" ref="J305">IF(OR(D305:I305=""),"",IF(AND(ABS(D305-D306)&lt;=0.2,ABS(E305-E306)&lt;=0.2,ABS(F305-F306)&lt;=0.2,ABS(G305-G306)&lt;=0.2,H305="PASS",I305="No"),"PASS","FAIL"))</f>
        <v>#VALUE!</v>
      </c>
      <c r="K305" s="107"/>
      <c r="L305" s="302"/>
      <c r="M305" s="303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22"/>
      <c r="G308" s="323"/>
      <c r="H308" s="323"/>
      <c r="I308" s="323"/>
      <c r="J308" s="323"/>
      <c r="K308" s="323"/>
      <c r="L308" s="324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306"/>
      <c r="G309" s="307"/>
      <c r="H309" s="307"/>
      <c r="I309" s="307"/>
      <c r="J309" s="307"/>
      <c r="K309" s="307"/>
      <c r="L309" s="308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112" t="s">
        <v>1053</v>
      </c>
      <c r="F319" s="112" t="s">
        <v>1054</v>
      </c>
      <c r="G319" s="112" t="s">
        <v>1055</v>
      </c>
      <c r="H319" s="112" t="s">
        <v>1056</v>
      </c>
      <c r="I319" s="35">
        <v>5</v>
      </c>
      <c r="J319" s="36" t="e">
        <f>IF(OR(C319="",E319="",F319="",G319="",H319=""),"",IF(AND(ABS(E319)&lt;=I319,ABS(F319)&lt;=I319,ABS(G319)&lt;=I319,ABS(H319)&lt;=I319),"PASS","FAIL"))</f>
        <v>#VALUE!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302"/>
      <c r="M323" s="303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302"/>
      <c r="M324" s="303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 t="s">
        <v>1057</v>
      </c>
      <c r="G328" s="165">
        <f>Data!AA53</f>
        <v>1.8</v>
      </c>
      <c r="H328" s="164" t="s">
        <v>1058</v>
      </c>
      <c r="I328" s="165">
        <f>Data!AB53</f>
        <v>2.6</v>
      </c>
      <c r="J328" s="112" t="s">
        <v>1059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 t="s">
        <v>1060</v>
      </c>
      <c r="G329" s="165">
        <v>1.8</v>
      </c>
      <c r="H329" s="164" t="s">
        <v>1061</v>
      </c>
      <c r="I329" s="165">
        <v>2.7</v>
      </c>
      <c r="J329" s="112" t="s">
        <v>1062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 t="s">
        <v>1063</v>
      </c>
      <c r="E337" s="127">
        <v>75</v>
      </c>
      <c r="F337" s="127">
        <v>5</v>
      </c>
      <c r="G337" s="112" t="s">
        <v>1064</v>
      </c>
      <c r="H337" s="127">
        <f>Data!AG52</f>
        <v>33</v>
      </c>
      <c r="I337" s="127">
        <v>20</v>
      </c>
      <c r="J337" s="183" t="e">
        <f>IF(OR(D337="",G337=""),"",IF(AND(ABS(D337-E337)&lt;=F337,100*ABS(G337-H337)/H337&lt;=I337),"PASS","FAIL"))</f>
        <v>#VALUE!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 t="s">
        <v>1065</v>
      </c>
      <c r="E338" s="127">
        <v>125</v>
      </c>
      <c r="F338" s="127">
        <v>5</v>
      </c>
      <c r="G338" s="112" t="s">
        <v>1066</v>
      </c>
      <c r="H338" s="127">
        <f>Data!AG53</f>
        <v>89</v>
      </c>
      <c r="I338" s="127">
        <v>20</v>
      </c>
      <c r="J338" s="183" t="e">
        <f>IF(OR(D338="",G338=""),"",IF(AND(ABS(D338-E338)&lt;=F338,100*ABS(G338-H338)/H338&lt;=I338),"PASS","FAIL"))</f>
        <v>#VALUE!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21"/>
      <c r="L340" s="321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1067</v>
      </c>
      <c r="H351" s="130"/>
      <c r="I351" s="309"/>
      <c r="J351" s="310"/>
      <c r="K351" s="310"/>
      <c r="L351" s="310"/>
      <c r="M351" s="311"/>
      <c r="N351" s="228"/>
      <c r="O351" s="4"/>
    </row>
    <row r="352" spans="2:16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x14ac:dyDescent="0.2">
      <c r="B355" s="253"/>
      <c r="C355" s="16"/>
      <c r="D355" s="146" t="s">
        <v>343</v>
      </c>
      <c r="E355" s="147" t="s">
        <v>1068</v>
      </c>
      <c r="F355" s="148">
        <v>2</v>
      </c>
      <c r="G355" s="84">
        <v>0.5</v>
      </c>
      <c r="H355" s="79"/>
      <c r="I355" s="79"/>
      <c r="J355" s="79"/>
      <c r="K355" s="79"/>
      <c r="L355" s="105" t="e">
        <f>IF(E355="","",IF(ABS(E355-F355)&lt;=G355,"PASS","FAIL"))</f>
        <v>#VALUE!</v>
      </c>
      <c r="M355" s="79"/>
      <c r="N355" s="235"/>
    </row>
    <row r="356" spans="2:16" x14ac:dyDescent="0.2">
      <c r="B356" s="253"/>
      <c r="C356" s="79"/>
      <c r="D356" s="146" t="s">
        <v>337</v>
      </c>
      <c r="E356" s="147" t="s">
        <v>1069</v>
      </c>
      <c r="F356" s="148">
        <v>50</v>
      </c>
      <c r="G356" s="84">
        <v>1</v>
      </c>
      <c r="H356" s="79"/>
      <c r="I356" s="79"/>
      <c r="J356" s="79"/>
      <c r="K356" s="79"/>
      <c r="L356" s="105" t="e">
        <f>IF(E356="","",IF(ABS(E356-F356)&lt;=G356,"PASS","FAIL"))</f>
        <v>#VALUE!</v>
      </c>
      <c r="M356" s="79"/>
      <c r="N356" s="235"/>
    </row>
    <row r="357" spans="2:16" x14ac:dyDescent="0.2">
      <c r="B357" s="253"/>
      <c r="C357" s="79"/>
      <c r="D357" s="146" t="s">
        <v>338</v>
      </c>
      <c r="E357" s="147" t="s">
        <v>1070</v>
      </c>
      <c r="F357" s="148">
        <v>50</v>
      </c>
      <c r="G357" s="84">
        <v>1</v>
      </c>
      <c r="H357" s="79"/>
      <c r="I357" s="79"/>
      <c r="J357" s="79"/>
      <c r="K357" s="79"/>
      <c r="L357" s="105" t="e">
        <f>IF(E357="","",IF(ABS(E357-F357)&lt;=G357,"PASS","FAIL"))</f>
        <v>#VALUE!</v>
      </c>
      <c r="M357" s="79"/>
      <c r="N357" s="235"/>
    </row>
    <row r="358" spans="2:16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x14ac:dyDescent="0.2">
      <c r="B361" s="253"/>
      <c r="C361" s="16"/>
      <c r="D361" s="146" t="s">
        <v>290</v>
      </c>
      <c r="E361" s="153" t="s">
        <v>1071</v>
      </c>
      <c r="F361" s="149">
        <v>340</v>
      </c>
      <c r="G361" s="150">
        <v>50</v>
      </c>
      <c r="H361" s="79"/>
      <c r="I361" s="79"/>
      <c r="J361" s="79"/>
      <c r="K361" s="79"/>
      <c r="L361" s="105" t="e">
        <f>IF(E361="","",IF(ABS(E361-F361)&lt;=G361,"PASS","FAIL"))</f>
        <v>#VALUE!</v>
      </c>
      <c r="M361" s="79"/>
      <c r="N361" s="235"/>
      <c r="P361" s="96"/>
    </row>
    <row r="362" spans="2:16" x14ac:dyDescent="0.2">
      <c r="B362" s="253"/>
      <c r="C362" s="79"/>
      <c r="D362" s="146" t="s">
        <v>291</v>
      </c>
      <c r="E362" s="153" t="s">
        <v>1072</v>
      </c>
      <c r="F362" s="149">
        <v>-1000</v>
      </c>
      <c r="G362" s="150">
        <v>50</v>
      </c>
      <c r="H362" s="79"/>
      <c r="I362" s="79"/>
      <c r="J362" s="79"/>
      <c r="K362" s="79"/>
      <c r="L362" s="105" t="e">
        <f>IF(E362="","",IF(ABS(E362-F362)&lt;=G362,"PASS","FAIL"))</f>
        <v>#VALUE!</v>
      </c>
      <c r="M362" s="79"/>
      <c r="N362" s="235"/>
      <c r="P362" s="96"/>
    </row>
    <row r="363" spans="2:16" x14ac:dyDescent="0.2">
      <c r="B363" s="253"/>
      <c r="C363" s="79"/>
      <c r="D363" s="146" t="s">
        <v>292</v>
      </c>
      <c r="E363" s="153" t="s">
        <v>1073</v>
      </c>
      <c r="F363" s="149">
        <v>-100</v>
      </c>
      <c r="G363" s="150">
        <v>50</v>
      </c>
      <c r="H363" s="79"/>
      <c r="I363" s="79"/>
      <c r="J363" s="79"/>
      <c r="K363" s="79"/>
      <c r="L363" s="105" t="e">
        <f>IF(E363="","",IF(ABS(E363-F363)&lt;=G363,"PASS","FAIL"))</f>
        <v>#VALUE!</v>
      </c>
      <c r="M363" s="79"/>
      <c r="N363" s="235"/>
    </row>
    <row r="364" spans="2:16" x14ac:dyDescent="0.2">
      <c r="B364" s="253"/>
      <c r="C364" s="79"/>
      <c r="D364" s="146" t="s">
        <v>293</v>
      </c>
      <c r="E364" s="153" t="s">
        <v>1074</v>
      </c>
      <c r="F364" s="149">
        <v>990</v>
      </c>
      <c r="G364" s="150">
        <v>50</v>
      </c>
      <c r="H364" s="79"/>
      <c r="I364" s="79"/>
      <c r="J364" s="79"/>
      <c r="K364" s="79"/>
      <c r="L364" s="105" t="e">
        <f>IF(E364="","",IF(ABS(E364-F364)&lt;=G364,"PASS","FAIL"))</f>
        <v>#VALUE!</v>
      </c>
      <c r="M364" s="79"/>
      <c r="N364" s="235"/>
    </row>
    <row r="365" spans="2:16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x14ac:dyDescent="0.2">
      <c r="B368" s="253"/>
      <c r="C368" s="16"/>
      <c r="D368" s="146"/>
      <c r="E368" s="147" t="s">
        <v>1075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x14ac:dyDescent="0.2">
      <c r="B372" s="253"/>
      <c r="C372" s="16"/>
      <c r="D372" s="146" t="s">
        <v>297</v>
      </c>
      <c r="E372" s="153" t="s">
        <v>1076</v>
      </c>
      <c r="F372" s="153" t="s">
        <v>1077</v>
      </c>
      <c r="G372" s="152" t="s">
        <v>1434</v>
      </c>
      <c r="H372" s="152">
        <v>10</v>
      </c>
      <c r="I372" s="123"/>
      <c r="J372" s="79"/>
      <c r="K372" s="79"/>
      <c r="L372" s="105" t="e">
        <f>IF(G372="","",IF(ABS(G372)&lt;=H372,"PASS","FAIL"))</f>
        <v>#VALUE!</v>
      </c>
      <c r="M372" s="79"/>
      <c r="N372" s="235"/>
    </row>
    <row r="373" spans="2:14" x14ac:dyDescent="0.2">
      <c r="B373" s="253"/>
      <c r="C373" s="79"/>
      <c r="D373" s="16" t="s">
        <v>298</v>
      </c>
      <c r="E373" s="112" t="s">
        <v>1078</v>
      </c>
      <c r="F373" s="153" t="s">
        <v>1079</v>
      </c>
      <c r="G373" s="152" t="s">
        <v>1435</v>
      </c>
      <c r="H373" s="152">
        <v>10</v>
      </c>
      <c r="I373" s="123"/>
      <c r="J373" s="79"/>
      <c r="K373" s="79"/>
      <c r="L373" s="105" t="e">
        <f>IF(G373="","",IF(ABS(G373)&lt;=H373,"PASS","FAIL"))</f>
        <v>#VALUE!</v>
      </c>
      <c r="M373" s="79"/>
      <c r="N373" s="235"/>
    </row>
    <row r="374" spans="2:14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x14ac:dyDescent="0.2">
      <c r="B377" s="253"/>
      <c r="C377" s="16"/>
      <c r="D377" s="146" t="s">
        <v>339</v>
      </c>
      <c r="E377" s="152" t="s">
        <v>1080</v>
      </c>
      <c r="F377" s="152">
        <v>440</v>
      </c>
      <c r="G377" s="152">
        <v>20</v>
      </c>
      <c r="H377" s="123"/>
      <c r="I377" s="79"/>
      <c r="J377" s="79"/>
      <c r="K377" s="79"/>
      <c r="L377" s="105" t="e">
        <f>IF(E377="","",IF(100*ABS(E377-F377)/F377&lt;=G377,"PASS","FAIL"))</f>
        <v>#VALUE!</v>
      </c>
      <c r="M377" s="79"/>
      <c r="N377" s="235"/>
    </row>
    <row r="378" spans="2:14" x14ac:dyDescent="0.2">
      <c r="B378" s="253"/>
      <c r="C378" s="79"/>
      <c r="D378" s="16" t="s">
        <v>341</v>
      </c>
      <c r="E378" s="152" t="s">
        <v>1081</v>
      </c>
      <c r="F378" s="152">
        <v>10</v>
      </c>
      <c r="G378" s="152">
        <v>20</v>
      </c>
      <c r="H378" s="123"/>
      <c r="I378" s="79"/>
      <c r="J378" s="79"/>
      <c r="K378" s="79"/>
      <c r="L378" s="105" t="e">
        <f>IF(E378="","",IF(100*ABS(E378-F378)/F378&lt;=G378,"PASS","FAIL"))</f>
        <v>#VALUE!</v>
      </c>
      <c r="M378" s="79"/>
      <c r="N378" s="235"/>
    </row>
    <row r="379" spans="2:14" x14ac:dyDescent="0.2">
      <c r="B379" s="253"/>
      <c r="C379" s="79"/>
      <c r="D379" s="16" t="s">
        <v>274</v>
      </c>
      <c r="E379" s="152" t="s">
        <v>1082</v>
      </c>
      <c r="F379" s="152">
        <v>44</v>
      </c>
      <c r="G379" s="152">
        <v>20</v>
      </c>
      <c r="H379" s="79"/>
      <c r="I379" s="79"/>
      <c r="J379" s="79"/>
      <c r="K379" s="79"/>
      <c r="L379" s="105" t="e">
        <f>IF(E379="","",IF(100*ABS(E379-F379)/F379&lt;=G379,"PASS","FAIL"))</f>
        <v>#VALUE!</v>
      </c>
      <c r="M379" s="79"/>
      <c r="N379" s="235"/>
    </row>
    <row r="380" spans="2:14" ht="13.5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304" t="s">
        <v>299</v>
      </c>
      <c r="G381" s="305"/>
      <c r="H381" s="305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305"/>
      <c r="G382" s="305"/>
      <c r="H382" s="305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mergeCells count="31">
    <mergeCell ref="K103:L103"/>
    <mergeCell ref="H12:J12"/>
    <mergeCell ref="F15:G15"/>
    <mergeCell ref="C17:M19"/>
    <mergeCell ref="F21:G21"/>
    <mergeCell ref="K24:L24"/>
    <mergeCell ref="J27:M27"/>
    <mergeCell ref="J28:M28"/>
    <mergeCell ref="J29:M29"/>
    <mergeCell ref="J30:M30"/>
    <mergeCell ref="J31:M31"/>
    <mergeCell ref="K33:L33"/>
    <mergeCell ref="L305:M305"/>
    <mergeCell ref="K122:L122"/>
    <mergeCell ref="F173:L174"/>
    <mergeCell ref="D188:L189"/>
    <mergeCell ref="L213:M213"/>
    <mergeCell ref="L214:M214"/>
    <mergeCell ref="D237:L238"/>
    <mergeCell ref="K240:L240"/>
    <mergeCell ref="K273:L273"/>
    <mergeCell ref="E290:M290"/>
    <mergeCell ref="E291:M291"/>
    <mergeCell ref="K293:L293"/>
    <mergeCell ref="F381:H382"/>
    <mergeCell ref="F308:L308"/>
    <mergeCell ref="F309:L309"/>
    <mergeCell ref="L323:M323"/>
    <mergeCell ref="L324:M324"/>
    <mergeCell ref="K340:L340"/>
    <mergeCell ref="I351:M351"/>
  </mergeCells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K98:K100 D98:D99 F21 L12:M12 C17:M19 I98:I100 E223:I226 C328:K329 J27:M31">
    <cfRule type="cellIs" dxfId="47" priority="46" stopIfTrue="1" operator="equal">
      <formula>""</formula>
    </cfRule>
  </conditionalFormatting>
  <conditionalFormatting sqref="H12:J12">
    <cfRule type="cellIs" dxfId="46" priority="47" stopIfTrue="1" operator="equal">
      <formula>$Q$6</formula>
    </cfRule>
  </conditionalFormatting>
  <conditionalFormatting sqref="M21">
    <cfRule type="cellIs" dxfId="45" priority="45" stopIfTrue="1" operator="equal">
      <formula>$Q$6</formula>
    </cfRule>
  </conditionalFormatting>
  <conditionalFormatting sqref="F308:F309 F173:L174">
    <cfRule type="cellIs" dxfId="44" priority="44" stopIfTrue="1" operator="equal">
      <formula>$Q$6</formula>
    </cfRule>
  </conditionalFormatting>
  <conditionalFormatting sqref="D237:L238 D188:L189">
    <cfRule type="cellIs" dxfId="43" priority="43" stopIfTrue="1" operator="equal">
      <formula>$Q$6</formula>
    </cfRule>
  </conditionalFormatting>
  <conditionalFormatting sqref="E227:I227 J305:K305 N305">
    <cfRule type="cellIs" dxfId="42" priority="42" stopIfTrue="1" operator="equal">
      <formula>$Q$8</formula>
    </cfRule>
  </conditionalFormatting>
  <conditionalFormatting sqref="I351:M351">
    <cfRule type="cellIs" dxfId="41" priority="41" stopIfTrue="1" operator="equal">
      <formula>$Q$6</formula>
    </cfRule>
  </conditionalFormatting>
  <conditionalFormatting sqref="J214">
    <cfRule type="cellIs" dxfId="40" priority="40" stopIfTrue="1" operator="equal">
      <formula>$Q$8</formula>
    </cfRule>
  </conditionalFormatting>
  <conditionalFormatting sqref="G351 L355:L365 L368:L380 H282:H285 E287:E288 J319 J337:J338 M251:N251 J255 J259 J263 J267 J271 M47:N50 M62:N66 M72:N72 M85:N88 L98:L100 L55:L57 M116:N120 G230:G235 J305:K305 L328:N329 N305">
    <cfRule type="cellIs" dxfId="39" priority="39" stopIfTrue="1" operator="equal">
      <formula>"FAIL"</formula>
    </cfRule>
  </conditionalFormatting>
  <conditionalFormatting sqref="H27:H31">
    <cfRule type="cellIs" dxfId="38" priority="38" stopIfTrue="1" operator="equal">
      <formula>"NOT REVIEWED"</formula>
    </cfRule>
  </conditionalFormatting>
  <conditionalFormatting sqref="M47:N50 M62:N66 M72:N72 M85:N88 L98:L100 L55:L57 M116:N120">
    <cfRule type="cellIs" dxfId="37" priority="37" stopIfTrue="1" operator="equal">
      <formula>"MARGINAL"</formula>
    </cfRule>
  </conditionalFormatting>
  <conditionalFormatting sqref="K170">
    <cfRule type="cellIs" dxfId="36" priority="36" stopIfTrue="1" operator="equal">
      <formula>"FAIL"</formula>
    </cfRule>
  </conditionalFormatting>
  <conditionalFormatting sqref="L161 L186 F186 I186:J186 D198 D206 J214 E227:I227 G230:G235">
    <cfRule type="cellIs" dxfId="35" priority="35" stopIfTrue="1" operator="equal">
      <formula>"FAIL"</formula>
    </cfRule>
  </conditionalFormatting>
  <conditionalFormatting sqref="E226:I226">
    <cfRule type="cellIs" dxfId="34" priority="34" stopIfTrue="1" operator="equal">
      <formula>"FAIL"</formula>
    </cfRule>
  </conditionalFormatting>
  <conditionalFormatting sqref="K101 I101">
    <cfRule type="cellIs" dxfId="33" priority="33" stopIfTrue="1" operator="equal">
      <formula>""</formula>
    </cfRule>
  </conditionalFormatting>
  <conditionalFormatting sqref="L101">
    <cfRule type="cellIs" dxfId="32" priority="32" stopIfTrue="1" operator="equal">
      <formula>"FAIL"</formula>
    </cfRule>
  </conditionalFormatting>
  <conditionalFormatting sqref="L101">
    <cfRule type="cellIs" dxfId="31" priority="31" stopIfTrue="1" operator="equal">
      <formula>"MARGINAL"</formula>
    </cfRule>
  </conditionalFormatting>
  <conditionalFormatting sqref="L213:M214">
    <cfRule type="cellIs" dxfId="30" priority="30" stopIfTrue="1" operator="equal">
      <formula>$Q$6</formula>
    </cfRule>
  </conditionalFormatting>
  <conditionalFormatting sqref="L323:M324">
    <cfRule type="cellIs" dxfId="29" priority="29" stopIfTrue="1" operator="equal">
      <formula>$Q$6</formula>
    </cfRule>
  </conditionalFormatting>
  <conditionalFormatting sqref="K24:L24">
    <cfRule type="cellIs" dxfId="28" priority="28" stopIfTrue="1" operator="notEqual">
      <formula>""</formula>
    </cfRule>
  </conditionalFormatting>
  <conditionalFormatting sqref="K33:L33">
    <cfRule type="cellIs" dxfId="27" priority="27" stopIfTrue="1" operator="notEqual">
      <formula>""</formula>
    </cfRule>
  </conditionalFormatting>
  <conditionalFormatting sqref="K103:L103">
    <cfRule type="cellIs" dxfId="26" priority="26" stopIfTrue="1" operator="notEqual">
      <formula>""</formula>
    </cfRule>
  </conditionalFormatting>
  <conditionalFormatting sqref="K122:L122">
    <cfRule type="cellIs" dxfId="25" priority="25" stopIfTrue="1" operator="notEqual">
      <formula>""</formula>
    </cfRule>
  </conditionalFormatting>
  <conditionalFormatting sqref="K240:L240">
    <cfRule type="cellIs" dxfId="24" priority="24" stopIfTrue="1" operator="notEqual">
      <formula>""</formula>
    </cfRule>
  </conditionalFormatting>
  <conditionalFormatting sqref="K273:L273">
    <cfRule type="cellIs" dxfId="23" priority="23" stopIfTrue="1" operator="notEqual">
      <formula>""</formula>
    </cfRule>
  </conditionalFormatting>
  <conditionalFormatting sqref="K293:L293">
    <cfRule type="cellIs" dxfId="22" priority="22" stopIfTrue="1" operator="notEqual">
      <formula>""</formula>
    </cfRule>
  </conditionalFormatting>
  <conditionalFormatting sqref="K340:L340">
    <cfRule type="cellIs" dxfId="21" priority="21" stopIfTrue="1" operator="notEqual">
      <formula>""</formula>
    </cfRule>
  </conditionalFormatting>
  <conditionalFormatting sqref="F15 M15 H27:H31">
    <cfRule type="cellIs" dxfId="20" priority="20" stopIfTrue="1" operator="equal">
      <formula>""</formula>
    </cfRule>
  </conditionalFormatting>
  <conditionalFormatting sqref="G351 D206 J186 D198">
    <cfRule type="cellIs" dxfId="19" priority="48" stopIfTrue="1" operator="equal">
      <formula>$Q$6</formula>
    </cfRule>
    <cfRule type="cellIs" dxfId="18" priority="49" stopIfTrue="1" operator="equal">
      <formula>$Q$8</formula>
    </cfRule>
  </conditionalFormatting>
  <conditionalFormatting sqref="E235:F235">
    <cfRule type="cellIs" dxfId="17" priority="18" stopIfTrue="1" operator="equal">
      <formula>""</formula>
    </cfRule>
  </conditionalFormatting>
  <conditionalFormatting sqref="I235">
    <cfRule type="cellIs" dxfId="16" priority="17" stopIfTrue="1" operator="equal">
      <formula>"FAIL"</formula>
    </cfRule>
  </conditionalFormatting>
  <conditionalFormatting sqref="I235">
    <cfRule type="cellIs" dxfId="15" priority="16" stopIfTrue="1" operator="equal">
      <formula>"FAIL"</formula>
    </cfRule>
  </conditionalFormatting>
  <conditionalFormatting sqref="L305:M305">
    <cfRule type="cellIs" dxfId="14" priority="15" stopIfTrue="1" operator="equal">
      <formula>$Q$6</formula>
    </cfRule>
  </conditionalFormatting>
  <conditionalFormatting sqref="J15">
    <cfRule type="cellIs" dxfId="13" priority="13" stopIfTrue="1" operator="equal">
      <formula>$Q$8</formula>
    </cfRule>
    <cfRule type="cellIs" dxfId="12" priority="14" stopIfTrue="1" operator="equal">
      <formula>$Q$6</formula>
    </cfRule>
  </conditionalFormatting>
  <conditionalFormatting sqref="J15">
    <cfRule type="cellIs" dxfId="11" priority="12" stopIfTrue="1" operator="equal">
      <formula>""</formula>
    </cfRule>
  </conditionalFormatting>
  <conditionalFormatting sqref="F15:G15">
    <cfRule type="cellIs" dxfId="10" priority="10" stopIfTrue="1" operator="equal">
      <formula>"CONDITIONAL PASS"</formula>
    </cfRule>
    <cfRule type="cellIs" dxfId="9" priority="11" stopIfTrue="1" operator="equal">
      <formula>"FAIL"</formula>
    </cfRule>
  </conditionalFormatting>
  <conditionalFormatting sqref="D35 D37 G35 G37">
    <cfRule type="cellIs" dxfId="8" priority="9" stopIfTrue="1" operator="equal">
      <formula>""</formula>
    </cfRule>
  </conditionalFormatting>
  <conditionalFormatting sqref="E47:G50 E55:F57 E77 E98:E100 F62:G66 F72:G72 F85:G88 G98:G100">
    <cfRule type="cellIs" dxfId="7" priority="8" stopIfTrue="1" operator="equal">
      <formula>""</formula>
    </cfRule>
  </conditionalFormatting>
  <conditionalFormatting sqref="E77">
    <cfRule type="cellIs" dxfId="6" priority="7" stopIfTrue="1" operator="equal">
      <formula>"FAIL"</formula>
    </cfRule>
  </conditionalFormatting>
  <conditionalFormatting sqref="E101 G101">
    <cfRule type="cellIs" dxfId="5" priority="6" stopIfTrue="1" operator="equal">
      <formula>""</formula>
    </cfRule>
  </conditionalFormatting>
  <conditionalFormatting sqref="G98:G100">
    <cfRule type="cellIs" dxfId="4" priority="5" stopIfTrue="1" operator="equal">
      <formula>""</formula>
    </cfRule>
  </conditionalFormatting>
  <conditionalFormatting sqref="D105 D107 G105 G107">
    <cfRule type="cellIs" dxfId="3" priority="4" stopIfTrue="1" operator="equal">
      <formula>""</formula>
    </cfRule>
  </conditionalFormatting>
  <conditionalFormatting sqref="E116:G120">
    <cfRule type="cellIs" dxfId="2" priority="3" stopIfTrue="1" operator="equal">
      <formula>""</formula>
    </cfRule>
  </conditionalFormatting>
  <conditionalFormatting sqref="J131:J137">
    <cfRule type="cellIs" dxfId="1" priority="2" stopIfTrue="1" operator="equal">
      <formula>"FAIL"</formula>
    </cfRule>
  </conditionalFormatting>
  <conditionalFormatting sqref="J145:J147">
    <cfRule type="cellIs" dxfId="0" priority="1" stopIfTrue="1" operator="equal">
      <formula>"FAIL"</formula>
    </cfRule>
  </conditionalFormatting>
  <dataValidations count="12">
    <dataValidation type="list" allowBlank="1" showInputMessage="1" showErrorMessage="1" sqref="F15:G15">
      <formula1>List_Status1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H305 E287:E288 G351 D198 D206 E226:I226 J186">
      <formula1>List_Status3</formula1>
    </dataValidation>
    <dataValidation showInputMessage="1" showErrorMessage="1" sqref="D37 G37 D107 G107"/>
    <dataValidation type="list" showInputMessage="1" showErrorMessage="1" sqref="E77">
      <formula1>List_Status3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1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2"/>
  <legacyDrawing r:id="rId3"/>
  <controls>
    <mc:AlternateContent xmlns:mc="http://schemas.openxmlformats.org/markup-compatibility/2006">
      <mc:Choice Requires="x14">
        <control shapeId="21505" r:id="rId4" name="cmdClear">
          <controlPr locked="0" defaultSize="0" autoLine="0" r:id="rId5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21505" r:id="rId4" name="cmdClear"/>
      </mc:Fallback>
    </mc:AlternateContent>
    <mc:AlternateContent xmlns:mc="http://schemas.openxmlformats.org/markup-compatibility/2006">
      <mc:Choice Requires="x14">
        <control shapeId="21506" r:id="rId6" name="cmdPrint">
          <controlPr locked="0" defaultSize="0" autoLine="0" r:id="rId7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21506" r:id="rId6" name="cmdPrint"/>
      </mc:Fallback>
    </mc:AlternateContent>
    <mc:AlternateContent xmlns:mc="http://schemas.openxmlformats.org/markup-compatibility/2006">
      <mc:Choice Requires="x14">
        <control shapeId="21507" r:id="rId8" name="cmdOPTrend">
          <controlPr locked="0" defaultSize="0" autoLine="0" r:id="rId9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8</xdr:col>
                <xdr:colOff>1104900</xdr:colOff>
                <xdr:row>7</xdr:row>
                <xdr:rowOff>57150</xdr:rowOff>
              </to>
            </anchor>
          </controlPr>
        </control>
      </mc:Choice>
      <mc:Fallback>
        <control shapeId="21507" r:id="rId8" name="cmdOPTrend"/>
      </mc:Fallback>
    </mc:AlternateContent>
    <mc:AlternateContent xmlns:mc="http://schemas.openxmlformats.org/markup-compatibility/2006">
      <mc:Choice Requires="x14">
        <control shapeId="21508" r:id="rId10" name="cmdSave">
          <controlPr locked="0" defaultSize="0" autoLine="0" r:id="rId11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21508" r:id="rId10" name="cmdSave"/>
      </mc:Fallback>
    </mc:AlternateContent>
    <mc:AlternateContent xmlns:mc="http://schemas.openxmlformats.org/markup-compatibility/2006">
      <mc:Choice Requires="x14">
        <control shapeId="21509" r:id="rId12" name="lbl_Audit">
          <controlPr defaultSize="0" autoFill="0" autoLine="0" r:id="rId13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21509" r:id="rId12" name="lbl_Audit"/>
      </mc:Fallback>
    </mc:AlternateContent>
    <mc:AlternateContent xmlns:mc="http://schemas.openxmlformats.org/markup-compatibility/2006">
      <mc:Choice Requires="x14">
        <control shapeId="21510" r:id="rId14" name="lbl_Xray_Outputs">
          <controlPr defaultSize="0" autoFill="0" autoLine="0" r:id="rId13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21510" r:id="rId14" name="lbl_Xray_Outputs"/>
      </mc:Fallback>
    </mc:AlternateContent>
    <mc:AlternateContent xmlns:mc="http://schemas.openxmlformats.org/markup-compatibility/2006">
      <mc:Choice Requires="x14">
        <control shapeId="21511" r:id="rId15" name="lbl_Electron_Outputs">
          <controlPr defaultSize="0" autoFill="0" autoLine="0" r:id="rId1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21511" r:id="rId15" name="lbl_Electron_Outputs"/>
      </mc:Fallback>
    </mc:AlternateContent>
    <mc:AlternateContent xmlns:mc="http://schemas.openxmlformats.org/markup-compatibility/2006">
      <mc:Choice Requires="x14">
        <control shapeId="21512" r:id="rId17" name="lbl_MVD_Measurements">
          <controlPr defaultSize="0" autoFill="0" autoLine="0" r:id="rId1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21512" r:id="rId17" name="lbl_MVD_Measurements"/>
      </mc:Fallback>
    </mc:AlternateContent>
    <mc:AlternateContent xmlns:mc="http://schemas.openxmlformats.org/markup-compatibility/2006">
      <mc:Choice Requires="x14">
        <control shapeId="21513" r:id="rId18" name="lbl_Registration">
          <controlPr defaultSize="0" autoFill="0" autoLine="0" r:id="rId13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21513" r:id="rId18" name="lbl_Registration"/>
      </mc:Fallback>
    </mc:AlternateContent>
    <mc:AlternateContent xmlns:mc="http://schemas.openxmlformats.org/markup-compatibility/2006">
      <mc:Choice Requires="x14">
        <control shapeId="21514" r:id="rId19" name="lbl_Motion_Management">
          <controlPr defaultSize="0" autoFill="0" autoLine="0" r:id="rId13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21514" r:id="rId19" name="lbl_Motion_Management"/>
      </mc:Fallback>
    </mc:AlternateContent>
    <mc:AlternateContent xmlns:mc="http://schemas.openxmlformats.org/markup-compatibility/2006">
      <mc:Choice Requires="x14">
        <control shapeId="21515" r:id="rId20" name="lbl_KV_Planar">
          <controlPr defaultSize="0" autoFill="0" autoLine="0" r:id="rId13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21515" r:id="rId20" name="lbl_KV_Planar"/>
      </mc:Fallback>
    </mc:AlternateContent>
    <mc:AlternateContent xmlns:mc="http://schemas.openxmlformats.org/markup-compatibility/2006">
      <mc:Choice Requires="x14">
        <control shapeId="21516" r:id="rId21" name="lbl_CBCT">
          <controlPr defaultSize="0" autoFill="0" autoLine="0" r:id="rId1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21516" r:id="rId21" name="lbl_CBC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86"/>
  <sheetViews>
    <sheetView topLeftCell="S25" zoomScale="115" zoomScaleNormal="115" workbookViewId="0">
      <pane xSplit="32505" topLeftCell="Y1"/>
      <selection activeCell="X55" sqref="X55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[1]Main!M12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 t="s">
        <v>549</v>
      </c>
      <c r="D31" s="75">
        <v>44715</v>
      </c>
      <c r="E31" s="169" t="e">
        <f t="shared" ref="E31:E36" si="0">C31/$C$31</f>
        <v>#VALUE!</v>
      </c>
      <c r="G31" s="69" t="s">
        <v>35</v>
      </c>
      <c r="H31" s="70" t="s">
        <v>115</v>
      </c>
      <c r="I31" s="129" t="s">
        <v>550</v>
      </c>
      <c r="J31" s="200">
        <v>43181</v>
      </c>
      <c r="K31" s="169" t="e">
        <f>I31/$I$31</f>
        <v>#VALUE!</v>
      </c>
      <c r="L31" s="75"/>
      <c r="M31" s="69" t="s">
        <v>116</v>
      </c>
      <c r="N31" s="70">
        <v>50095</v>
      </c>
      <c r="O31" s="76" t="s">
        <v>551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 t="s">
        <v>552</v>
      </c>
      <c r="D32" s="75">
        <v>43154</v>
      </c>
      <c r="E32" s="169" t="e">
        <f t="shared" si="0"/>
        <v>#VALUE!</v>
      </c>
      <c r="G32" s="69" t="s">
        <v>31</v>
      </c>
      <c r="H32" s="70" t="s">
        <v>114</v>
      </c>
      <c r="I32" s="129" t="s">
        <v>553</v>
      </c>
      <c r="J32" s="200">
        <v>43159</v>
      </c>
      <c r="K32" s="169" t="e">
        <f>I32/$I$31</f>
        <v>#VALUE!</v>
      </c>
      <c r="L32" s="75"/>
      <c r="M32" s="69" t="s">
        <v>117</v>
      </c>
      <c r="N32" s="70" t="s">
        <v>120</v>
      </c>
      <c r="O32" s="76" t="s">
        <v>554</v>
      </c>
      <c r="P32" s="75">
        <v>36861</v>
      </c>
      <c r="R32" s="69"/>
      <c r="S32" s="69" t="s">
        <v>127</v>
      </c>
      <c r="T32" s="76" t="s">
        <v>307</v>
      </c>
      <c r="U32" s="86" t="s">
        <v>555</v>
      </c>
      <c r="V32" s="86" t="s">
        <v>556</v>
      </c>
      <c r="W32" s="129" t="s">
        <v>557</v>
      </c>
      <c r="X32" s="129" t="s">
        <v>558</v>
      </c>
      <c r="AA32" s="69" t="s">
        <v>127</v>
      </c>
      <c r="AB32" s="69" t="s">
        <v>35</v>
      </c>
      <c r="AC32" s="74" t="s">
        <v>559</v>
      </c>
      <c r="AD32" s="74" t="s">
        <v>560</v>
      </c>
      <c r="AE32" s="74" t="s">
        <v>561</v>
      </c>
      <c r="AF32" s="74" t="s">
        <v>562</v>
      </c>
      <c r="AG32" s="74" t="s">
        <v>563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 t="s">
        <v>564</v>
      </c>
      <c r="D33" s="75">
        <v>43154</v>
      </c>
      <c r="E33" s="169" t="e">
        <f t="shared" si="0"/>
        <v>#VALUE!</v>
      </c>
      <c r="G33" s="69" t="s">
        <v>181</v>
      </c>
      <c r="H33" s="69">
        <v>4249</v>
      </c>
      <c r="I33" s="129" t="s">
        <v>565</v>
      </c>
      <c r="J33" s="200">
        <v>43159</v>
      </c>
      <c r="K33" s="169" t="e">
        <f>I33/$I$31</f>
        <v>#VALUE!</v>
      </c>
      <c r="L33" s="75"/>
      <c r="M33" s="69" t="s">
        <v>118</v>
      </c>
      <c r="N33" s="70" t="s">
        <v>121</v>
      </c>
      <c r="O33" s="76" t="s">
        <v>566</v>
      </c>
      <c r="P33" s="75">
        <v>36861</v>
      </c>
      <c r="S33" s="69" t="s">
        <v>128</v>
      </c>
      <c r="T33" s="76" t="s">
        <v>307</v>
      </c>
      <c r="U33" s="69" t="s">
        <v>567</v>
      </c>
      <c r="V33" s="86" t="s">
        <v>568</v>
      </c>
      <c r="W33" s="129" t="s">
        <v>569</v>
      </c>
      <c r="X33" s="129" t="s">
        <v>570</v>
      </c>
      <c r="AA33" s="69" t="s">
        <v>128</v>
      </c>
      <c r="AB33" s="69" t="s">
        <v>35</v>
      </c>
      <c r="AC33" s="74" t="s">
        <v>571</v>
      </c>
      <c r="AD33" s="74" t="s">
        <v>572</v>
      </c>
      <c r="AE33" s="74" t="s">
        <v>573</v>
      </c>
      <c r="AF33" s="74" t="s">
        <v>574</v>
      </c>
      <c r="AG33" s="74" t="s">
        <v>575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 t="s">
        <v>576</v>
      </c>
      <c r="D34" s="75">
        <v>43154</v>
      </c>
      <c r="E34" s="169" t="e">
        <f t="shared" si="0"/>
        <v>#VALUE!</v>
      </c>
      <c r="G34" s="69" t="s">
        <v>182</v>
      </c>
      <c r="H34" s="69">
        <v>1305</v>
      </c>
      <c r="I34" s="129" t="s">
        <v>577</v>
      </c>
      <c r="J34" s="200">
        <v>43159</v>
      </c>
      <c r="K34" s="169" t="e">
        <f>I34/$I$31</f>
        <v>#VALUE!</v>
      </c>
      <c r="L34" s="75"/>
      <c r="M34" s="69" t="s">
        <v>119</v>
      </c>
      <c r="N34" s="70" t="s">
        <v>122</v>
      </c>
      <c r="O34" s="76" t="s">
        <v>578</v>
      </c>
      <c r="P34" s="75">
        <v>36861</v>
      </c>
      <c r="S34" s="69" t="s">
        <v>131</v>
      </c>
      <c r="T34" s="76" t="s">
        <v>307</v>
      </c>
      <c r="U34" s="69" t="s">
        <v>579</v>
      </c>
      <c r="V34" s="86" t="s">
        <v>580</v>
      </c>
      <c r="W34" s="129" t="s">
        <v>581</v>
      </c>
      <c r="X34" s="129" t="s">
        <v>582</v>
      </c>
      <c r="AA34" s="69" t="s">
        <v>131</v>
      </c>
      <c r="AB34" s="69" t="s">
        <v>35</v>
      </c>
      <c r="AC34" s="74" t="s">
        <v>761</v>
      </c>
      <c r="AD34" s="74" t="s">
        <v>762</v>
      </c>
      <c r="AE34" s="74" t="s">
        <v>763</v>
      </c>
      <c r="AF34" s="74" t="s">
        <v>764</v>
      </c>
      <c r="AG34" s="74" t="s">
        <v>765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 t="s">
        <v>583</v>
      </c>
      <c r="D35" s="75">
        <v>43154</v>
      </c>
      <c r="E35" s="169" t="e">
        <f t="shared" si="0"/>
        <v>#VALUE!</v>
      </c>
      <c r="M35" s="69" t="s">
        <v>224</v>
      </c>
      <c r="N35" s="70" t="s">
        <v>226</v>
      </c>
      <c r="O35" s="76" t="s">
        <v>584</v>
      </c>
      <c r="P35" s="69" t="s">
        <v>225</v>
      </c>
      <c r="S35" s="69" t="s">
        <v>132</v>
      </c>
      <c r="T35" s="76" t="s">
        <v>307</v>
      </c>
      <c r="U35" s="69" t="s">
        <v>585</v>
      </c>
      <c r="V35" s="69" t="s">
        <v>586</v>
      </c>
      <c r="W35" s="69" t="s">
        <v>587</v>
      </c>
      <c r="X35" s="69" t="s">
        <v>588</v>
      </c>
    </row>
    <row r="36" spans="1:40" x14ac:dyDescent="0.2">
      <c r="A36" s="69" t="s">
        <v>129</v>
      </c>
      <c r="B36" s="69">
        <v>2359</v>
      </c>
      <c r="C36" s="76" t="s">
        <v>589</v>
      </c>
      <c r="D36" s="75">
        <v>43154</v>
      </c>
      <c r="E36" s="169" t="e">
        <f t="shared" si="0"/>
        <v>#VALUE!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 t="s">
        <v>590</v>
      </c>
      <c r="V36" s="69" t="s">
        <v>591</v>
      </c>
      <c r="W36" s="69" t="s">
        <v>592</v>
      </c>
      <c r="X36" s="69" t="s">
        <v>593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 t="s">
        <v>594</v>
      </c>
      <c r="V37" s="69" t="s">
        <v>595</v>
      </c>
      <c r="W37" s="69" t="s">
        <v>596</v>
      </c>
      <c r="X37" s="69" t="s">
        <v>597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96"/>
  <sheetViews>
    <sheetView tabSelected="1" topLeftCell="A262" zoomScale="115" zoomScaleNormal="115" workbookViewId="0">
      <selection activeCell="C290" sqref="C290"/>
    </sheetView>
  </sheetViews>
  <sheetFormatPr defaultRowHeight="12.75" x14ac:dyDescent="0.2"/>
  <cols>
    <col min="1" max="1" width="45.7109375" customWidth="1"/>
    <col min="2" max="2" width="38.7109375" customWidth="1"/>
    <col min="3" max="3" width="38" bestFit="1" customWidth="1"/>
    <col min="4" max="4" width="7" bestFit="1" customWidth="1"/>
    <col min="5" max="5" width="5.5703125" bestFit="1" customWidth="1"/>
    <col min="6" max="6" width="9.85546875" bestFit="1" customWidth="1"/>
    <col min="7" max="7" width="60.7109375" bestFit="1" customWidth="1"/>
    <col min="8" max="8" width="9.42578125" bestFit="1" customWidth="1"/>
    <col min="9" max="35" width="10.7109375" customWidth="1"/>
  </cols>
  <sheetData>
    <row r="1" spans="1:8" x14ac:dyDescent="0.2">
      <c r="A1" s="111" t="s">
        <v>598</v>
      </c>
      <c r="B1" s="111" t="s">
        <v>599</v>
      </c>
      <c r="C1" s="111" t="s">
        <v>600</v>
      </c>
      <c r="D1" s="111" t="s">
        <v>601</v>
      </c>
      <c r="E1" s="111" t="s">
        <v>602</v>
      </c>
      <c r="F1" s="111" t="s">
        <v>603</v>
      </c>
      <c r="G1" s="111" t="s">
        <v>604</v>
      </c>
      <c r="H1" s="111" t="s">
        <v>605</v>
      </c>
    </row>
    <row r="2" spans="1:8" x14ac:dyDescent="0.2">
      <c r="A2" t="s">
        <v>606</v>
      </c>
      <c r="B2" t="s">
        <v>607</v>
      </c>
      <c r="C2" t="s">
        <v>608</v>
      </c>
      <c r="D2" t="b">
        <v>0</v>
      </c>
      <c r="E2" t="s">
        <v>609</v>
      </c>
      <c r="F2" t="s">
        <v>610</v>
      </c>
      <c r="G2" t="s">
        <v>611</v>
      </c>
      <c r="H2" s="111" t="s">
        <v>612</v>
      </c>
    </row>
    <row r="3" spans="1:8" x14ac:dyDescent="0.2">
      <c r="A3" t="s">
        <v>613</v>
      </c>
      <c r="B3" t="s">
        <v>614</v>
      </c>
      <c r="C3" t="s">
        <v>615</v>
      </c>
      <c r="D3" t="b">
        <v>0</v>
      </c>
      <c r="E3" t="s">
        <v>609</v>
      </c>
      <c r="F3" t="s">
        <v>610</v>
      </c>
      <c r="G3" t="s">
        <v>611</v>
      </c>
      <c r="H3" s="111" t="s">
        <v>612</v>
      </c>
    </row>
    <row r="4" spans="1:8" x14ac:dyDescent="0.2">
      <c r="A4" t="s">
        <v>616</v>
      </c>
      <c r="B4" t="s">
        <v>617</v>
      </c>
      <c r="C4" t="s">
        <v>618</v>
      </c>
      <c r="D4" t="b">
        <v>0</v>
      </c>
      <c r="E4" t="s">
        <v>609</v>
      </c>
      <c r="F4" t="s">
        <v>610</v>
      </c>
      <c r="G4" t="s">
        <v>611</v>
      </c>
      <c r="H4" s="111" t="s">
        <v>612</v>
      </c>
    </row>
    <row r="5" spans="1:8" x14ac:dyDescent="0.2">
      <c r="A5" t="s">
        <v>619</v>
      </c>
      <c r="B5" t="s">
        <v>620</v>
      </c>
      <c r="C5" t="s">
        <v>621</v>
      </c>
      <c r="D5" t="b">
        <v>0</v>
      </c>
      <c r="E5" t="s">
        <v>609</v>
      </c>
      <c r="F5" t="s">
        <v>610</v>
      </c>
      <c r="G5" t="s">
        <v>611</v>
      </c>
      <c r="H5" s="111" t="s">
        <v>612</v>
      </c>
    </row>
    <row r="6" spans="1:8" x14ac:dyDescent="0.2">
      <c r="A6" t="s">
        <v>622</v>
      </c>
      <c r="B6" t="s">
        <v>623</v>
      </c>
      <c r="C6" t="s">
        <v>624</v>
      </c>
      <c r="D6" t="b">
        <v>0</v>
      </c>
      <c r="E6" t="s">
        <v>609</v>
      </c>
      <c r="F6" t="s">
        <v>610</v>
      </c>
      <c r="G6" t="s">
        <v>611</v>
      </c>
      <c r="H6" s="111" t="s">
        <v>612</v>
      </c>
    </row>
    <row r="7" spans="1:8" x14ac:dyDescent="0.2">
      <c r="A7" t="s">
        <v>625</v>
      </c>
      <c r="B7" t="s">
        <v>626</v>
      </c>
      <c r="C7" t="s">
        <v>627</v>
      </c>
      <c r="D7" t="b">
        <v>0</v>
      </c>
      <c r="E7" t="s">
        <v>609</v>
      </c>
      <c r="F7" t="s">
        <v>610</v>
      </c>
      <c r="G7" t="s">
        <v>611</v>
      </c>
      <c r="H7" s="111" t="s">
        <v>612</v>
      </c>
    </row>
    <row r="8" spans="1:8" x14ac:dyDescent="0.2">
      <c r="A8" t="s">
        <v>628</v>
      </c>
      <c r="B8" t="s">
        <v>629</v>
      </c>
      <c r="C8" t="s">
        <v>630</v>
      </c>
      <c r="D8" t="b">
        <v>0</v>
      </c>
      <c r="E8" t="s">
        <v>609</v>
      </c>
      <c r="F8" t="s">
        <v>610</v>
      </c>
      <c r="G8" t="s">
        <v>611</v>
      </c>
      <c r="H8" s="111" t="s">
        <v>612</v>
      </c>
    </row>
    <row r="9" spans="1:8" x14ac:dyDescent="0.2">
      <c r="A9" t="s">
        <v>631</v>
      </c>
      <c r="B9" t="s">
        <v>632</v>
      </c>
      <c r="C9" t="s">
        <v>633</v>
      </c>
      <c r="D9" t="b">
        <v>0</v>
      </c>
      <c r="E9" t="s">
        <v>609</v>
      </c>
      <c r="F9" t="s">
        <v>610</v>
      </c>
      <c r="G9" t="s">
        <v>611</v>
      </c>
      <c r="H9" s="111" t="s">
        <v>612</v>
      </c>
    </row>
    <row r="10" spans="1:8" x14ac:dyDescent="0.2">
      <c r="A10" t="s">
        <v>634</v>
      </c>
      <c r="B10" t="s">
        <v>635</v>
      </c>
      <c r="C10" t="s">
        <v>636</v>
      </c>
      <c r="D10" t="b">
        <v>0</v>
      </c>
      <c r="E10" t="s">
        <v>609</v>
      </c>
      <c r="F10" t="s">
        <v>610</v>
      </c>
      <c r="G10" t="s">
        <v>611</v>
      </c>
      <c r="H10" s="111" t="s">
        <v>612</v>
      </c>
    </row>
    <row r="11" spans="1:8" x14ac:dyDescent="0.2">
      <c r="A11" t="s">
        <v>307</v>
      </c>
      <c r="B11" t="s">
        <v>637</v>
      </c>
      <c r="C11" t="s">
        <v>638</v>
      </c>
      <c r="D11" t="b">
        <v>0</v>
      </c>
      <c r="E11" t="s">
        <v>609</v>
      </c>
      <c r="F11" t="s">
        <v>610</v>
      </c>
      <c r="G11" t="s">
        <v>611</v>
      </c>
      <c r="H11" s="111" t="s">
        <v>612</v>
      </c>
    </row>
    <row r="12" spans="1:8" x14ac:dyDescent="0.2">
      <c r="A12" t="s">
        <v>34</v>
      </c>
      <c r="B12" t="s">
        <v>639</v>
      </c>
      <c r="C12" t="s">
        <v>640</v>
      </c>
      <c r="D12" t="b">
        <v>0</v>
      </c>
      <c r="E12" t="s">
        <v>609</v>
      </c>
      <c r="F12" t="s">
        <v>610</v>
      </c>
      <c r="G12" t="s">
        <v>611</v>
      </c>
      <c r="H12" s="111" t="s">
        <v>612</v>
      </c>
    </row>
    <row r="13" spans="1:8" x14ac:dyDescent="0.2">
      <c r="A13" t="s">
        <v>33</v>
      </c>
      <c r="B13" t="s">
        <v>641</v>
      </c>
      <c r="C13" t="s">
        <v>642</v>
      </c>
      <c r="D13" t="b">
        <v>0</v>
      </c>
      <c r="E13" t="s">
        <v>609</v>
      </c>
      <c r="F13" t="s">
        <v>610</v>
      </c>
      <c r="G13" t="s">
        <v>611</v>
      </c>
      <c r="H13" s="111" t="s">
        <v>612</v>
      </c>
    </row>
    <row r="14" spans="1:8" x14ac:dyDescent="0.2">
      <c r="A14" t="s">
        <v>32</v>
      </c>
      <c r="B14" t="s">
        <v>643</v>
      </c>
      <c r="C14" t="s">
        <v>644</v>
      </c>
      <c r="D14" t="b">
        <v>0</v>
      </c>
      <c r="E14" t="s">
        <v>609</v>
      </c>
      <c r="F14" t="s">
        <v>610</v>
      </c>
      <c r="G14" t="s">
        <v>611</v>
      </c>
      <c r="H14" s="111" t="s">
        <v>612</v>
      </c>
    </row>
    <row r="15" spans="1:8" x14ac:dyDescent="0.2">
      <c r="A15" t="s">
        <v>30</v>
      </c>
      <c r="B15" t="s">
        <v>645</v>
      </c>
      <c r="C15" t="s">
        <v>646</v>
      </c>
      <c r="D15" t="b">
        <v>0</v>
      </c>
      <c r="E15" t="s">
        <v>609</v>
      </c>
      <c r="F15" t="s">
        <v>610</v>
      </c>
      <c r="G15" t="s">
        <v>611</v>
      </c>
      <c r="H15" s="111" t="s">
        <v>612</v>
      </c>
    </row>
    <row r="16" spans="1:8" x14ac:dyDescent="0.2">
      <c r="A16" t="s">
        <v>129</v>
      </c>
      <c r="B16" t="s">
        <v>647</v>
      </c>
      <c r="C16" t="s">
        <v>648</v>
      </c>
      <c r="D16" t="b">
        <v>0</v>
      </c>
      <c r="E16" t="s">
        <v>609</v>
      </c>
      <c r="F16" t="s">
        <v>610</v>
      </c>
      <c r="G16" t="s">
        <v>611</v>
      </c>
      <c r="H16" s="111" t="s">
        <v>612</v>
      </c>
    </row>
    <row r="17" spans="1:8" x14ac:dyDescent="0.2">
      <c r="A17" t="s">
        <v>649</v>
      </c>
      <c r="B17" t="s">
        <v>650</v>
      </c>
      <c r="C17" t="s">
        <v>649</v>
      </c>
      <c r="D17" t="b">
        <v>0</v>
      </c>
      <c r="E17" t="s">
        <v>609</v>
      </c>
      <c r="F17" t="s">
        <v>610</v>
      </c>
      <c r="G17" t="s">
        <v>651</v>
      </c>
      <c r="H17" s="111" t="s">
        <v>612</v>
      </c>
    </row>
    <row r="18" spans="1:8" x14ac:dyDescent="0.2">
      <c r="A18" t="s">
        <v>652</v>
      </c>
      <c r="B18" t="s">
        <v>653</v>
      </c>
      <c r="C18" t="s">
        <v>652</v>
      </c>
      <c r="D18" t="b">
        <v>0</v>
      </c>
      <c r="E18" t="s">
        <v>609</v>
      </c>
      <c r="F18" t="s">
        <v>610</v>
      </c>
      <c r="G18" t="s">
        <v>651</v>
      </c>
      <c r="H18" s="111" t="s">
        <v>612</v>
      </c>
    </row>
    <row r="19" spans="1:8" x14ac:dyDescent="0.2">
      <c r="A19" t="s">
        <v>654</v>
      </c>
      <c r="B19" t="s">
        <v>655</v>
      </c>
      <c r="C19" t="s">
        <v>654</v>
      </c>
      <c r="D19" t="b">
        <v>0</v>
      </c>
      <c r="E19" t="s">
        <v>609</v>
      </c>
      <c r="F19" t="s">
        <v>610</v>
      </c>
      <c r="G19" t="s">
        <v>651</v>
      </c>
      <c r="H19" s="111" t="s">
        <v>612</v>
      </c>
    </row>
    <row r="20" spans="1:8" x14ac:dyDescent="0.2">
      <c r="A20" t="s">
        <v>656</v>
      </c>
      <c r="B20" t="s">
        <v>657</v>
      </c>
      <c r="C20" t="s">
        <v>656</v>
      </c>
      <c r="D20" t="b">
        <v>0</v>
      </c>
      <c r="E20" t="s">
        <v>609</v>
      </c>
      <c r="F20" t="s">
        <v>610</v>
      </c>
      <c r="G20" t="s">
        <v>651</v>
      </c>
      <c r="H20" s="111" t="s">
        <v>612</v>
      </c>
    </row>
    <row r="21" spans="1:8" x14ac:dyDescent="0.2">
      <c r="A21" t="s">
        <v>658</v>
      </c>
      <c r="B21" t="s">
        <v>659</v>
      </c>
      <c r="C21" t="s">
        <v>658</v>
      </c>
      <c r="D21" t="b">
        <v>0</v>
      </c>
      <c r="E21" t="s">
        <v>609</v>
      </c>
      <c r="F21" t="s">
        <v>610</v>
      </c>
      <c r="G21" t="s">
        <v>651</v>
      </c>
      <c r="H21" s="111" t="s">
        <v>612</v>
      </c>
    </row>
    <row r="22" spans="1:8" x14ac:dyDescent="0.2">
      <c r="A22" t="s">
        <v>660</v>
      </c>
      <c r="B22" t="s">
        <v>661</v>
      </c>
      <c r="C22" t="s">
        <v>660</v>
      </c>
      <c r="D22" t="b">
        <v>0</v>
      </c>
      <c r="E22" t="s">
        <v>609</v>
      </c>
      <c r="F22" t="s">
        <v>610</v>
      </c>
      <c r="G22" t="s">
        <v>651</v>
      </c>
      <c r="H22" s="111" t="s">
        <v>612</v>
      </c>
    </row>
    <row r="23" spans="1:8" x14ac:dyDescent="0.2">
      <c r="A23" t="s">
        <v>662</v>
      </c>
      <c r="B23" t="s">
        <v>663</v>
      </c>
      <c r="C23" t="s">
        <v>662</v>
      </c>
      <c r="D23" t="b">
        <v>0</v>
      </c>
      <c r="E23" t="s">
        <v>609</v>
      </c>
      <c r="F23" t="s">
        <v>610</v>
      </c>
      <c r="G23" t="s">
        <v>651</v>
      </c>
      <c r="H23" s="111" t="s">
        <v>612</v>
      </c>
    </row>
    <row r="24" spans="1:8" x14ac:dyDescent="0.2">
      <c r="A24" t="s">
        <v>664</v>
      </c>
      <c r="B24" t="s">
        <v>665</v>
      </c>
      <c r="C24" t="s">
        <v>664</v>
      </c>
      <c r="D24" t="b">
        <v>0</v>
      </c>
      <c r="E24" t="s">
        <v>609</v>
      </c>
      <c r="F24" t="s">
        <v>610</v>
      </c>
      <c r="G24" t="s">
        <v>651</v>
      </c>
      <c r="H24" s="111" t="s">
        <v>612</v>
      </c>
    </row>
    <row r="25" spans="1:8" x14ac:dyDescent="0.2">
      <c r="A25" t="s">
        <v>666</v>
      </c>
      <c r="B25" t="s">
        <v>667</v>
      </c>
      <c r="C25" t="s">
        <v>666</v>
      </c>
      <c r="D25" t="b">
        <v>0</v>
      </c>
      <c r="E25" t="s">
        <v>609</v>
      </c>
      <c r="F25" t="s">
        <v>610</v>
      </c>
      <c r="G25" t="s">
        <v>651</v>
      </c>
      <c r="H25" s="111" t="s">
        <v>612</v>
      </c>
    </row>
    <row r="26" spans="1:8" x14ac:dyDescent="0.2">
      <c r="A26" t="s">
        <v>668</v>
      </c>
      <c r="B26" t="s">
        <v>669</v>
      </c>
      <c r="C26" t="s">
        <v>668</v>
      </c>
      <c r="D26" t="b">
        <v>0</v>
      </c>
      <c r="E26" t="s">
        <v>609</v>
      </c>
      <c r="F26" t="s">
        <v>610</v>
      </c>
      <c r="G26" t="s">
        <v>651</v>
      </c>
      <c r="H26" s="111" t="s">
        <v>612</v>
      </c>
    </row>
    <row r="27" spans="1:8" x14ac:dyDescent="0.2">
      <c r="A27" t="s">
        <v>670</v>
      </c>
      <c r="B27" t="s">
        <v>671</v>
      </c>
      <c r="C27" t="s">
        <v>670</v>
      </c>
      <c r="D27" t="b">
        <v>0</v>
      </c>
      <c r="E27" t="s">
        <v>609</v>
      </c>
      <c r="F27" t="s">
        <v>610</v>
      </c>
      <c r="G27" t="s">
        <v>651</v>
      </c>
      <c r="H27" s="111" t="s">
        <v>612</v>
      </c>
    </row>
    <row r="28" spans="1:8" x14ac:dyDescent="0.2">
      <c r="A28" t="s">
        <v>672</v>
      </c>
      <c r="B28" t="s">
        <v>673</v>
      </c>
      <c r="C28" t="s">
        <v>672</v>
      </c>
      <c r="D28" t="b">
        <v>0</v>
      </c>
      <c r="E28" t="s">
        <v>609</v>
      </c>
      <c r="F28" t="s">
        <v>610</v>
      </c>
      <c r="G28" t="s">
        <v>651</v>
      </c>
      <c r="H28" s="111" t="s">
        <v>612</v>
      </c>
    </row>
    <row r="29" spans="1:8" x14ac:dyDescent="0.2">
      <c r="A29" t="s">
        <v>674</v>
      </c>
      <c r="B29" t="s">
        <v>675</v>
      </c>
      <c r="C29" t="s">
        <v>674</v>
      </c>
      <c r="D29" t="b">
        <v>0</v>
      </c>
      <c r="E29" t="s">
        <v>609</v>
      </c>
      <c r="F29" t="s">
        <v>610</v>
      </c>
      <c r="G29" t="s">
        <v>651</v>
      </c>
      <c r="H29" s="111" t="s">
        <v>612</v>
      </c>
    </row>
    <row r="30" spans="1:8" x14ac:dyDescent="0.2">
      <c r="A30" t="s">
        <v>676</v>
      </c>
      <c r="B30" t="s">
        <v>677</v>
      </c>
      <c r="C30" t="s">
        <v>676</v>
      </c>
      <c r="D30" t="b">
        <v>0</v>
      </c>
      <c r="E30" t="s">
        <v>609</v>
      </c>
      <c r="F30" t="s">
        <v>610</v>
      </c>
      <c r="G30" t="s">
        <v>651</v>
      </c>
      <c r="H30" s="111" t="s">
        <v>612</v>
      </c>
    </row>
    <row r="31" spans="1:8" x14ac:dyDescent="0.2">
      <c r="A31" t="s">
        <v>678</v>
      </c>
      <c r="B31" t="s">
        <v>679</v>
      </c>
      <c r="C31" t="s">
        <v>678</v>
      </c>
      <c r="D31" t="b">
        <v>0</v>
      </c>
      <c r="E31" t="s">
        <v>609</v>
      </c>
      <c r="F31" t="s">
        <v>610</v>
      </c>
      <c r="G31" t="s">
        <v>651</v>
      </c>
      <c r="H31" s="111" t="s">
        <v>612</v>
      </c>
    </row>
    <row r="32" spans="1:8" x14ac:dyDescent="0.2">
      <c r="A32" t="s">
        <v>680</v>
      </c>
      <c r="B32" t="s">
        <v>681</v>
      </c>
      <c r="C32" t="s">
        <v>680</v>
      </c>
      <c r="D32" t="b">
        <v>0</v>
      </c>
      <c r="E32" t="s">
        <v>609</v>
      </c>
      <c r="F32" t="s">
        <v>610</v>
      </c>
      <c r="G32" t="s">
        <v>651</v>
      </c>
      <c r="H32" s="111" t="s">
        <v>612</v>
      </c>
    </row>
    <row r="33" spans="1:8" x14ac:dyDescent="0.2">
      <c r="A33" t="s">
        <v>682</v>
      </c>
      <c r="B33" t="s">
        <v>683</v>
      </c>
      <c r="C33" t="s">
        <v>682</v>
      </c>
      <c r="D33" t="b">
        <v>0</v>
      </c>
      <c r="E33" t="s">
        <v>609</v>
      </c>
      <c r="F33" t="s">
        <v>610</v>
      </c>
      <c r="G33" t="s">
        <v>651</v>
      </c>
      <c r="H33" s="111" t="s">
        <v>612</v>
      </c>
    </row>
    <row r="34" spans="1:8" x14ac:dyDescent="0.2">
      <c r="A34" t="s">
        <v>684</v>
      </c>
      <c r="B34" t="s">
        <v>685</v>
      </c>
      <c r="C34" t="s">
        <v>684</v>
      </c>
      <c r="D34" t="b">
        <v>0</v>
      </c>
      <c r="E34" t="s">
        <v>609</v>
      </c>
      <c r="F34" t="s">
        <v>610</v>
      </c>
      <c r="G34" t="s">
        <v>651</v>
      </c>
      <c r="H34" s="111" t="s">
        <v>612</v>
      </c>
    </row>
    <row r="35" spans="1:8" x14ac:dyDescent="0.2">
      <c r="A35" t="s">
        <v>686</v>
      </c>
      <c r="B35" t="s">
        <v>687</v>
      </c>
      <c r="C35" t="s">
        <v>686</v>
      </c>
      <c r="D35" t="b">
        <v>0</v>
      </c>
      <c r="E35" t="s">
        <v>609</v>
      </c>
      <c r="F35" t="s">
        <v>610</v>
      </c>
      <c r="G35" t="s">
        <v>651</v>
      </c>
      <c r="H35" s="111" t="s">
        <v>612</v>
      </c>
    </row>
    <row r="36" spans="1:8" x14ac:dyDescent="0.2">
      <c r="A36" t="s">
        <v>688</v>
      </c>
      <c r="B36" t="s">
        <v>689</v>
      </c>
      <c r="C36" t="s">
        <v>688</v>
      </c>
      <c r="D36" t="b">
        <v>0</v>
      </c>
      <c r="E36" t="s">
        <v>609</v>
      </c>
      <c r="F36" t="s">
        <v>610</v>
      </c>
      <c r="G36" t="s">
        <v>651</v>
      </c>
      <c r="H36" s="111" t="s">
        <v>612</v>
      </c>
    </row>
    <row r="37" spans="1:8" x14ac:dyDescent="0.2">
      <c r="A37" t="s">
        <v>690</v>
      </c>
      <c r="B37" t="s">
        <v>691</v>
      </c>
      <c r="C37" t="s">
        <v>690</v>
      </c>
      <c r="D37" t="b">
        <v>0</v>
      </c>
      <c r="E37" t="s">
        <v>609</v>
      </c>
      <c r="F37" t="s">
        <v>610</v>
      </c>
      <c r="G37" t="s">
        <v>651</v>
      </c>
      <c r="H37" s="111" t="s">
        <v>612</v>
      </c>
    </row>
    <row r="38" spans="1:8" x14ac:dyDescent="0.2">
      <c r="A38" t="s">
        <v>692</v>
      </c>
      <c r="B38" t="s">
        <v>693</v>
      </c>
      <c r="C38" t="s">
        <v>692</v>
      </c>
      <c r="D38" t="b">
        <v>0</v>
      </c>
      <c r="E38" t="s">
        <v>609</v>
      </c>
      <c r="F38" t="s">
        <v>610</v>
      </c>
      <c r="G38" t="s">
        <v>651</v>
      </c>
      <c r="H38" s="111" t="s">
        <v>612</v>
      </c>
    </row>
    <row r="39" spans="1:8" x14ac:dyDescent="0.2">
      <c r="A39" t="s">
        <v>694</v>
      </c>
      <c r="B39" t="s">
        <v>695</v>
      </c>
      <c r="C39" t="s">
        <v>694</v>
      </c>
      <c r="D39" t="b">
        <v>0</v>
      </c>
      <c r="E39" t="s">
        <v>609</v>
      </c>
      <c r="F39" t="s">
        <v>610</v>
      </c>
      <c r="G39" t="s">
        <v>651</v>
      </c>
      <c r="H39" s="111" t="s">
        <v>612</v>
      </c>
    </row>
    <row r="40" spans="1:8" x14ac:dyDescent="0.2">
      <c r="A40" t="s">
        <v>696</v>
      </c>
      <c r="B40" t="s">
        <v>697</v>
      </c>
      <c r="C40" t="s">
        <v>696</v>
      </c>
      <c r="D40" t="b">
        <v>0</v>
      </c>
      <c r="E40" t="s">
        <v>609</v>
      </c>
      <c r="F40" t="s">
        <v>610</v>
      </c>
      <c r="G40" t="s">
        <v>651</v>
      </c>
      <c r="H40" s="111" t="s">
        <v>612</v>
      </c>
    </row>
    <row r="41" spans="1:8" x14ac:dyDescent="0.2">
      <c r="A41" t="s">
        <v>698</v>
      </c>
      <c r="B41" t="s">
        <v>699</v>
      </c>
      <c r="C41" t="s">
        <v>698</v>
      </c>
      <c r="D41" t="b">
        <v>0</v>
      </c>
      <c r="E41" t="s">
        <v>609</v>
      </c>
      <c r="F41" t="s">
        <v>610</v>
      </c>
      <c r="G41" t="s">
        <v>700</v>
      </c>
      <c r="H41" s="111" t="s">
        <v>612</v>
      </c>
    </row>
    <row r="42" spans="1:8" x14ac:dyDescent="0.2">
      <c r="A42" t="s">
        <v>701</v>
      </c>
      <c r="B42" t="s">
        <v>702</v>
      </c>
      <c r="C42" t="s">
        <v>701</v>
      </c>
      <c r="D42" t="b">
        <v>0</v>
      </c>
      <c r="E42" t="s">
        <v>609</v>
      </c>
      <c r="F42" t="s">
        <v>610</v>
      </c>
      <c r="G42" t="s">
        <v>700</v>
      </c>
      <c r="H42" s="111" t="s">
        <v>612</v>
      </c>
    </row>
    <row r="43" spans="1:8" x14ac:dyDescent="0.2">
      <c r="A43" t="s">
        <v>703</v>
      </c>
      <c r="B43" t="s">
        <v>704</v>
      </c>
      <c r="C43" t="s">
        <v>703</v>
      </c>
      <c r="D43" t="b">
        <v>0</v>
      </c>
      <c r="E43" t="s">
        <v>609</v>
      </c>
      <c r="F43" t="s">
        <v>610</v>
      </c>
      <c r="G43" t="s">
        <v>700</v>
      </c>
      <c r="H43" s="111" t="s">
        <v>612</v>
      </c>
    </row>
    <row r="44" spans="1:8" x14ac:dyDescent="0.2">
      <c r="A44" t="s">
        <v>705</v>
      </c>
      <c r="B44" t="s">
        <v>706</v>
      </c>
      <c r="C44" t="s">
        <v>705</v>
      </c>
      <c r="D44" t="b">
        <v>0</v>
      </c>
      <c r="E44" t="s">
        <v>609</v>
      </c>
      <c r="F44" t="s">
        <v>610</v>
      </c>
      <c r="G44" t="s">
        <v>700</v>
      </c>
      <c r="H44" s="111" t="s">
        <v>612</v>
      </c>
    </row>
    <row r="45" spans="1:8" x14ac:dyDescent="0.2">
      <c r="A45" t="s">
        <v>707</v>
      </c>
      <c r="B45" t="s">
        <v>708</v>
      </c>
      <c r="C45" t="s">
        <v>707</v>
      </c>
      <c r="D45" t="b">
        <v>0</v>
      </c>
      <c r="E45" t="s">
        <v>609</v>
      </c>
      <c r="F45" t="s">
        <v>610</v>
      </c>
      <c r="G45" t="s">
        <v>700</v>
      </c>
      <c r="H45" s="111" t="s">
        <v>612</v>
      </c>
    </row>
    <row r="46" spans="1:8" x14ac:dyDescent="0.2">
      <c r="A46" t="s">
        <v>709</v>
      </c>
      <c r="B46" t="s">
        <v>710</v>
      </c>
      <c r="C46" t="s">
        <v>709</v>
      </c>
      <c r="D46" t="b">
        <v>0</v>
      </c>
      <c r="E46" t="s">
        <v>609</v>
      </c>
      <c r="F46" t="s">
        <v>610</v>
      </c>
      <c r="G46" t="s">
        <v>700</v>
      </c>
      <c r="H46" s="111" t="s">
        <v>612</v>
      </c>
    </row>
    <row r="47" spans="1:8" x14ac:dyDescent="0.2">
      <c r="A47" t="s">
        <v>711</v>
      </c>
      <c r="B47" t="s">
        <v>712</v>
      </c>
      <c r="C47" t="s">
        <v>711</v>
      </c>
      <c r="D47" t="b">
        <v>0</v>
      </c>
      <c r="E47" t="s">
        <v>609</v>
      </c>
      <c r="F47" t="s">
        <v>610</v>
      </c>
      <c r="G47" t="s">
        <v>700</v>
      </c>
      <c r="H47" s="111" t="s">
        <v>612</v>
      </c>
    </row>
    <row r="48" spans="1:8" x14ac:dyDescent="0.2">
      <c r="A48" t="s">
        <v>713</v>
      </c>
      <c r="B48" t="s">
        <v>714</v>
      </c>
      <c r="C48" t="s">
        <v>713</v>
      </c>
      <c r="D48" t="b">
        <v>0</v>
      </c>
      <c r="E48" t="s">
        <v>609</v>
      </c>
      <c r="F48" t="s">
        <v>610</v>
      </c>
      <c r="G48" t="s">
        <v>700</v>
      </c>
      <c r="H48" s="111" t="s">
        <v>612</v>
      </c>
    </row>
    <row r="49" spans="1:8" x14ac:dyDescent="0.2">
      <c r="A49" t="s">
        <v>715</v>
      </c>
      <c r="B49" t="s">
        <v>716</v>
      </c>
      <c r="C49" t="s">
        <v>715</v>
      </c>
      <c r="D49" t="b">
        <v>0</v>
      </c>
      <c r="E49" t="s">
        <v>609</v>
      </c>
      <c r="F49" t="s">
        <v>610</v>
      </c>
      <c r="G49" t="s">
        <v>700</v>
      </c>
      <c r="H49" s="111" t="s">
        <v>612</v>
      </c>
    </row>
    <row r="50" spans="1:8" x14ac:dyDescent="0.2">
      <c r="A50" t="s">
        <v>717</v>
      </c>
      <c r="B50" t="s">
        <v>718</v>
      </c>
      <c r="C50" t="s">
        <v>717</v>
      </c>
      <c r="D50" t="b">
        <v>0</v>
      </c>
      <c r="E50" t="s">
        <v>609</v>
      </c>
      <c r="F50" t="s">
        <v>610</v>
      </c>
      <c r="G50" t="s">
        <v>700</v>
      </c>
      <c r="H50" s="111" t="s">
        <v>612</v>
      </c>
    </row>
    <row r="51" spans="1:8" x14ac:dyDescent="0.2">
      <c r="A51" t="s">
        <v>719</v>
      </c>
      <c r="B51" t="s">
        <v>766</v>
      </c>
      <c r="C51" t="s">
        <v>719</v>
      </c>
      <c r="D51" t="b">
        <v>0</v>
      </c>
      <c r="E51" t="s">
        <v>609</v>
      </c>
      <c r="F51" t="s">
        <v>610</v>
      </c>
      <c r="G51" t="s">
        <v>700</v>
      </c>
      <c r="H51" s="111" t="s">
        <v>612</v>
      </c>
    </row>
    <row r="52" spans="1:8" x14ac:dyDescent="0.2">
      <c r="A52" t="s">
        <v>720</v>
      </c>
      <c r="B52" t="s">
        <v>767</v>
      </c>
      <c r="C52" t="s">
        <v>720</v>
      </c>
      <c r="D52" t="b">
        <v>0</v>
      </c>
      <c r="E52" t="s">
        <v>609</v>
      </c>
      <c r="F52" t="s">
        <v>610</v>
      </c>
      <c r="G52" t="s">
        <v>700</v>
      </c>
      <c r="H52" s="111" t="s">
        <v>612</v>
      </c>
    </row>
    <row r="53" spans="1:8" x14ac:dyDescent="0.2">
      <c r="A53" t="s">
        <v>721</v>
      </c>
      <c r="B53" t="s">
        <v>768</v>
      </c>
      <c r="C53" t="s">
        <v>721</v>
      </c>
      <c r="D53" t="b">
        <v>0</v>
      </c>
      <c r="E53" t="s">
        <v>609</v>
      </c>
      <c r="F53" t="s">
        <v>610</v>
      </c>
      <c r="G53" t="s">
        <v>700</v>
      </c>
      <c r="H53" s="111" t="s">
        <v>612</v>
      </c>
    </row>
    <row r="54" spans="1:8" x14ac:dyDescent="0.2">
      <c r="A54" t="s">
        <v>722</v>
      </c>
      <c r="B54" t="s">
        <v>769</v>
      </c>
      <c r="C54" t="s">
        <v>722</v>
      </c>
      <c r="D54" t="b">
        <v>0</v>
      </c>
      <c r="E54" t="s">
        <v>609</v>
      </c>
      <c r="F54" t="s">
        <v>610</v>
      </c>
      <c r="G54" t="s">
        <v>700</v>
      </c>
      <c r="H54" s="111" t="s">
        <v>612</v>
      </c>
    </row>
    <row r="55" spans="1:8" x14ac:dyDescent="0.2">
      <c r="A55" t="s">
        <v>723</v>
      </c>
      <c r="B55" t="s">
        <v>770</v>
      </c>
      <c r="C55" t="s">
        <v>723</v>
      </c>
      <c r="D55" t="b">
        <v>0</v>
      </c>
      <c r="E55" t="s">
        <v>609</v>
      </c>
      <c r="F55" t="s">
        <v>610</v>
      </c>
      <c r="G55" t="s">
        <v>700</v>
      </c>
      <c r="H55" s="111" t="s">
        <v>612</v>
      </c>
    </row>
    <row r="56" spans="1:8" x14ac:dyDescent="0.2">
      <c r="A56" t="s">
        <v>724</v>
      </c>
      <c r="B56" t="s">
        <v>541</v>
      </c>
      <c r="C56" t="s">
        <v>724</v>
      </c>
      <c r="D56" t="b">
        <v>0</v>
      </c>
      <c r="E56" t="s">
        <v>725</v>
      </c>
      <c r="F56" t="s">
        <v>726</v>
      </c>
      <c r="G56" t="s">
        <v>727</v>
      </c>
      <c r="H56" s="111" t="s">
        <v>612</v>
      </c>
    </row>
    <row r="57" spans="1:8" x14ac:dyDescent="0.2">
      <c r="A57" t="s">
        <v>728</v>
      </c>
      <c r="B57" t="s">
        <v>729</v>
      </c>
      <c r="C57" t="s">
        <v>728</v>
      </c>
      <c r="D57" t="b">
        <v>0</v>
      </c>
      <c r="E57" t="s">
        <v>725</v>
      </c>
      <c r="F57" t="s">
        <v>726</v>
      </c>
      <c r="G57" t="s">
        <v>730</v>
      </c>
      <c r="H57" s="111" t="s">
        <v>612</v>
      </c>
    </row>
    <row r="58" spans="1:8" x14ac:dyDescent="0.2">
      <c r="A58" t="s">
        <v>731</v>
      </c>
      <c r="B58" t="s">
        <v>732</v>
      </c>
      <c r="C58" t="s">
        <v>733</v>
      </c>
      <c r="D58" t="b">
        <v>0</v>
      </c>
      <c r="E58" t="s">
        <v>725</v>
      </c>
      <c r="F58" t="s">
        <v>734</v>
      </c>
      <c r="G58" t="s">
        <v>611</v>
      </c>
      <c r="H58" s="111" t="s">
        <v>612</v>
      </c>
    </row>
    <row r="59" spans="1:8" x14ac:dyDescent="0.2">
      <c r="A59" t="s">
        <v>735</v>
      </c>
      <c r="B59" t="s">
        <v>736</v>
      </c>
      <c r="C59" t="s">
        <v>737</v>
      </c>
      <c r="D59" t="b">
        <v>0</v>
      </c>
      <c r="E59" t="s">
        <v>725</v>
      </c>
      <c r="F59" t="s">
        <v>734</v>
      </c>
      <c r="G59" t="s">
        <v>611</v>
      </c>
      <c r="H59" s="111" t="s">
        <v>612</v>
      </c>
    </row>
    <row r="60" spans="1:8" x14ac:dyDescent="0.2">
      <c r="A60" t="s">
        <v>738</v>
      </c>
      <c r="B60" t="s">
        <v>739</v>
      </c>
      <c r="C60" t="s">
        <v>740</v>
      </c>
      <c r="D60" t="b">
        <v>0</v>
      </c>
      <c r="E60" t="s">
        <v>725</v>
      </c>
      <c r="F60" t="s">
        <v>734</v>
      </c>
      <c r="G60" t="s">
        <v>611</v>
      </c>
      <c r="H60" s="111" t="s">
        <v>612</v>
      </c>
    </row>
    <row r="61" spans="1:8" x14ac:dyDescent="0.2">
      <c r="A61" t="s">
        <v>741</v>
      </c>
      <c r="B61" t="s">
        <v>742</v>
      </c>
      <c r="C61" t="s">
        <v>743</v>
      </c>
      <c r="D61" t="b">
        <v>0</v>
      </c>
      <c r="E61" t="s">
        <v>725</v>
      </c>
      <c r="F61" t="s">
        <v>734</v>
      </c>
      <c r="G61" t="s">
        <v>611</v>
      </c>
      <c r="H61" s="111" t="s">
        <v>612</v>
      </c>
    </row>
    <row r="62" spans="1:8" x14ac:dyDescent="0.2">
      <c r="A62" t="s">
        <v>744</v>
      </c>
      <c r="B62" t="s">
        <v>745</v>
      </c>
      <c r="C62" t="s">
        <v>746</v>
      </c>
      <c r="D62" t="b">
        <v>0</v>
      </c>
      <c r="E62" t="s">
        <v>725</v>
      </c>
      <c r="F62" t="s">
        <v>747</v>
      </c>
      <c r="G62" t="s">
        <v>700</v>
      </c>
      <c r="H62" s="111" t="s">
        <v>612</v>
      </c>
    </row>
    <row r="63" spans="1:8" x14ac:dyDescent="0.2">
      <c r="A63" t="s">
        <v>748</v>
      </c>
      <c r="B63" t="s">
        <v>749</v>
      </c>
      <c r="C63" t="s">
        <v>750</v>
      </c>
      <c r="D63" t="b">
        <v>0</v>
      </c>
      <c r="E63" t="s">
        <v>725</v>
      </c>
      <c r="F63" t="s">
        <v>747</v>
      </c>
      <c r="G63" t="s">
        <v>700</v>
      </c>
      <c r="H63" s="111" t="s">
        <v>612</v>
      </c>
    </row>
    <row r="64" spans="1:8" x14ac:dyDescent="0.2">
      <c r="A64" t="s">
        <v>751</v>
      </c>
      <c r="B64" t="s">
        <v>540</v>
      </c>
      <c r="C64" t="s">
        <v>751</v>
      </c>
      <c r="D64" t="b">
        <v>0</v>
      </c>
      <c r="E64" t="s">
        <v>725</v>
      </c>
      <c r="F64" t="s">
        <v>726</v>
      </c>
      <c r="G64" t="s">
        <v>752</v>
      </c>
      <c r="H64" s="111" t="s">
        <v>612</v>
      </c>
    </row>
    <row r="65" spans="1:8" x14ac:dyDescent="0.2">
      <c r="A65" t="s">
        <v>753</v>
      </c>
      <c r="B65" t="s">
        <v>754</v>
      </c>
      <c r="C65" t="s">
        <v>755</v>
      </c>
      <c r="D65" t="b">
        <v>0</v>
      </c>
      <c r="E65" t="s">
        <v>725</v>
      </c>
      <c r="F65" t="s">
        <v>747</v>
      </c>
      <c r="G65" t="s">
        <v>700</v>
      </c>
      <c r="H65" s="111" t="s">
        <v>612</v>
      </c>
    </row>
    <row r="66" spans="1:8" x14ac:dyDescent="0.2">
      <c r="A66" t="s">
        <v>756</v>
      </c>
      <c r="B66" t="s">
        <v>757</v>
      </c>
      <c r="C66" t="s">
        <v>758</v>
      </c>
      <c r="D66" t="b">
        <v>0</v>
      </c>
      <c r="E66" t="s">
        <v>725</v>
      </c>
      <c r="F66" t="s">
        <v>747</v>
      </c>
      <c r="G66" t="s">
        <v>700</v>
      </c>
      <c r="H66" s="111" t="s">
        <v>612</v>
      </c>
    </row>
    <row r="67" spans="1:8" x14ac:dyDescent="0.2">
      <c r="A67" t="s">
        <v>1229</v>
      </c>
      <c r="B67" t="s">
        <v>771</v>
      </c>
      <c r="C67" t="s">
        <v>1229</v>
      </c>
      <c r="D67" t="b">
        <v>0</v>
      </c>
      <c r="E67" t="s">
        <v>725</v>
      </c>
      <c r="F67" t="s">
        <v>747</v>
      </c>
      <c r="G67" t="s">
        <v>611</v>
      </c>
      <c r="H67" t="s">
        <v>612</v>
      </c>
    </row>
    <row r="68" spans="1:8" x14ac:dyDescent="0.2">
      <c r="A68" t="s">
        <v>1230</v>
      </c>
      <c r="B68" t="s">
        <v>772</v>
      </c>
      <c r="C68" t="s">
        <v>1230</v>
      </c>
      <c r="D68" t="b">
        <v>0</v>
      </c>
      <c r="E68" t="s">
        <v>725</v>
      </c>
      <c r="F68" t="s">
        <v>747</v>
      </c>
      <c r="G68" t="s">
        <v>611</v>
      </c>
      <c r="H68" t="s">
        <v>612</v>
      </c>
    </row>
    <row r="69" spans="1:8" x14ac:dyDescent="0.2">
      <c r="A69" t="s">
        <v>1231</v>
      </c>
      <c r="B69" t="s">
        <v>773</v>
      </c>
      <c r="C69" t="s">
        <v>1231</v>
      </c>
      <c r="D69" t="b">
        <v>0</v>
      </c>
      <c r="E69" t="s">
        <v>725</v>
      </c>
      <c r="F69" t="s">
        <v>747</v>
      </c>
      <c r="G69" t="s">
        <v>611</v>
      </c>
      <c r="H69" t="s">
        <v>612</v>
      </c>
    </row>
    <row r="70" spans="1:8" x14ac:dyDescent="0.2">
      <c r="A70" t="s">
        <v>1232</v>
      </c>
      <c r="B70" t="s">
        <v>774</v>
      </c>
      <c r="C70" t="s">
        <v>1232</v>
      </c>
      <c r="D70" t="b">
        <v>0</v>
      </c>
      <c r="E70" t="s">
        <v>725</v>
      </c>
      <c r="F70" t="s">
        <v>747</v>
      </c>
      <c r="G70" t="s">
        <v>611</v>
      </c>
      <c r="H70" t="s">
        <v>612</v>
      </c>
    </row>
    <row r="71" spans="1:8" x14ac:dyDescent="0.2">
      <c r="A71" t="s">
        <v>1233</v>
      </c>
      <c r="B71" t="s">
        <v>775</v>
      </c>
      <c r="C71" t="s">
        <v>1233</v>
      </c>
      <c r="D71" t="b">
        <v>0</v>
      </c>
      <c r="E71" t="s">
        <v>725</v>
      </c>
      <c r="F71" t="s">
        <v>747</v>
      </c>
      <c r="G71" t="s">
        <v>611</v>
      </c>
      <c r="H71" t="s">
        <v>612</v>
      </c>
    </row>
    <row r="72" spans="1:8" x14ac:dyDescent="0.2">
      <c r="A72" t="s">
        <v>1234</v>
      </c>
      <c r="B72" t="s">
        <v>776</v>
      </c>
      <c r="C72" t="s">
        <v>1234</v>
      </c>
      <c r="D72" t="b">
        <v>0</v>
      </c>
      <c r="E72" t="s">
        <v>725</v>
      </c>
      <c r="F72" t="s">
        <v>747</v>
      </c>
      <c r="G72" t="s">
        <v>611</v>
      </c>
      <c r="H72" t="s">
        <v>612</v>
      </c>
    </row>
    <row r="73" spans="1:8" x14ac:dyDescent="0.2">
      <c r="A73" t="s">
        <v>1235</v>
      </c>
      <c r="B73" t="s">
        <v>777</v>
      </c>
      <c r="C73" t="s">
        <v>1235</v>
      </c>
      <c r="D73" t="b">
        <v>0</v>
      </c>
      <c r="E73" t="s">
        <v>725</v>
      </c>
      <c r="F73" t="s">
        <v>747</v>
      </c>
      <c r="G73" t="s">
        <v>611</v>
      </c>
      <c r="H73" t="s">
        <v>612</v>
      </c>
    </row>
    <row r="74" spans="1:8" x14ac:dyDescent="0.2">
      <c r="A74" t="s">
        <v>1236</v>
      </c>
      <c r="B74" t="s">
        <v>778</v>
      </c>
      <c r="C74" t="s">
        <v>1236</v>
      </c>
      <c r="D74" t="b">
        <v>0</v>
      </c>
      <c r="E74" t="s">
        <v>725</v>
      </c>
      <c r="F74" t="s">
        <v>747</v>
      </c>
      <c r="G74" t="s">
        <v>611</v>
      </c>
      <c r="H74" t="s">
        <v>612</v>
      </c>
    </row>
    <row r="75" spans="1:8" x14ac:dyDescent="0.2">
      <c r="A75" t="s">
        <v>1237</v>
      </c>
      <c r="B75" t="s">
        <v>779</v>
      </c>
      <c r="C75" t="s">
        <v>1237</v>
      </c>
      <c r="D75" t="b">
        <v>0</v>
      </c>
      <c r="E75" t="s">
        <v>725</v>
      </c>
      <c r="F75" t="s">
        <v>747</v>
      </c>
      <c r="G75" t="s">
        <v>611</v>
      </c>
      <c r="H75" t="s">
        <v>612</v>
      </c>
    </row>
    <row r="76" spans="1:8" x14ac:dyDescent="0.2">
      <c r="A76" t="s">
        <v>1238</v>
      </c>
      <c r="B76" t="s">
        <v>780</v>
      </c>
      <c r="C76" t="s">
        <v>1238</v>
      </c>
      <c r="D76" t="b">
        <v>0</v>
      </c>
      <c r="E76" t="s">
        <v>725</v>
      </c>
      <c r="F76" t="s">
        <v>747</v>
      </c>
      <c r="G76" t="s">
        <v>611</v>
      </c>
      <c r="H76" t="s">
        <v>612</v>
      </c>
    </row>
    <row r="77" spans="1:8" x14ac:dyDescent="0.2">
      <c r="A77" t="s">
        <v>1239</v>
      </c>
      <c r="B77" t="s">
        <v>781</v>
      </c>
      <c r="C77" t="s">
        <v>1239</v>
      </c>
      <c r="D77" t="b">
        <v>0</v>
      </c>
      <c r="E77" t="s">
        <v>725</v>
      </c>
      <c r="F77" t="s">
        <v>747</v>
      </c>
      <c r="G77" t="s">
        <v>611</v>
      </c>
      <c r="H77" t="s">
        <v>612</v>
      </c>
    </row>
    <row r="78" spans="1:8" x14ac:dyDescent="0.2">
      <c r="A78" t="s">
        <v>1240</v>
      </c>
      <c r="B78" t="s">
        <v>782</v>
      </c>
      <c r="C78" t="s">
        <v>1240</v>
      </c>
      <c r="D78" t="b">
        <v>0</v>
      </c>
      <c r="E78" t="s">
        <v>725</v>
      </c>
      <c r="F78" t="s">
        <v>747</v>
      </c>
      <c r="G78" t="s">
        <v>611</v>
      </c>
      <c r="H78" t="s">
        <v>612</v>
      </c>
    </row>
    <row r="79" spans="1:8" x14ac:dyDescent="0.2">
      <c r="A79" t="s">
        <v>1241</v>
      </c>
      <c r="B79" t="s">
        <v>783</v>
      </c>
      <c r="C79" t="s">
        <v>1241</v>
      </c>
      <c r="D79" t="b">
        <v>1</v>
      </c>
      <c r="E79" t="s">
        <v>725</v>
      </c>
      <c r="F79" s="111" t="s">
        <v>734</v>
      </c>
      <c r="G79" t="s">
        <v>611</v>
      </c>
      <c r="H79" t="s">
        <v>612</v>
      </c>
    </row>
    <row r="80" spans="1:8" x14ac:dyDescent="0.2">
      <c r="A80" t="s">
        <v>1242</v>
      </c>
      <c r="B80" t="s">
        <v>784</v>
      </c>
      <c r="C80" t="s">
        <v>1242</v>
      </c>
      <c r="D80" t="b">
        <v>1</v>
      </c>
      <c r="E80" t="s">
        <v>725</v>
      </c>
      <c r="F80" s="111" t="s">
        <v>734</v>
      </c>
      <c r="G80" t="s">
        <v>611</v>
      </c>
      <c r="H80" t="s">
        <v>612</v>
      </c>
    </row>
    <row r="81" spans="1:8" x14ac:dyDescent="0.2">
      <c r="A81" t="s">
        <v>1243</v>
      </c>
      <c r="B81" t="s">
        <v>785</v>
      </c>
      <c r="C81" t="s">
        <v>1243</v>
      </c>
      <c r="D81" t="b">
        <v>1</v>
      </c>
      <c r="E81" t="s">
        <v>725</v>
      </c>
      <c r="F81" s="111" t="s">
        <v>734</v>
      </c>
      <c r="G81" t="s">
        <v>611</v>
      </c>
      <c r="H81" t="s">
        <v>612</v>
      </c>
    </row>
    <row r="82" spans="1:8" x14ac:dyDescent="0.2">
      <c r="A82" t="s">
        <v>1244</v>
      </c>
      <c r="B82" t="s">
        <v>786</v>
      </c>
      <c r="C82" t="s">
        <v>1244</v>
      </c>
      <c r="D82" t="b">
        <v>1</v>
      </c>
      <c r="E82" t="s">
        <v>725</v>
      </c>
      <c r="F82" s="111" t="s">
        <v>734</v>
      </c>
      <c r="G82" t="s">
        <v>611</v>
      </c>
      <c r="H82" t="s">
        <v>612</v>
      </c>
    </row>
    <row r="83" spans="1:8" x14ac:dyDescent="0.2">
      <c r="A83" t="s">
        <v>1245</v>
      </c>
      <c r="B83" t="s">
        <v>790</v>
      </c>
      <c r="C83" t="s">
        <v>1245</v>
      </c>
      <c r="D83" t="b">
        <v>0</v>
      </c>
      <c r="E83" t="s">
        <v>725</v>
      </c>
      <c r="F83" t="s">
        <v>747</v>
      </c>
      <c r="G83" t="s">
        <v>611</v>
      </c>
      <c r="H83" t="s">
        <v>612</v>
      </c>
    </row>
    <row r="84" spans="1:8" x14ac:dyDescent="0.2">
      <c r="A84" t="s">
        <v>1246</v>
      </c>
      <c r="B84" t="s">
        <v>791</v>
      </c>
      <c r="C84" t="s">
        <v>1246</v>
      </c>
      <c r="D84" t="b">
        <v>0</v>
      </c>
      <c r="E84" t="s">
        <v>725</v>
      </c>
      <c r="F84" t="s">
        <v>747</v>
      </c>
      <c r="G84" t="s">
        <v>611</v>
      </c>
      <c r="H84" t="s">
        <v>612</v>
      </c>
    </row>
    <row r="85" spans="1:8" ht="14.25" customHeight="1" x14ac:dyDescent="0.2">
      <c r="A85" t="s">
        <v>1247</v>
      </c>
      <c r="B85" t="s">
        <v>792</v>
      </c>
      <c r="C85" t="s">
        <v>1247</v>
      </c>
      <c r="D85" t="b">
        <v>0</v>
      </c>
      <c r="E85" t="s">
        <v>725</v>
      </c>
      <c r="F85" t="s">
        <v>747</v>
      </c>
      <c r="G85" t="s">
        <v>611</v>
      </c>
      <c r="H85" t="s">
        <v>612</v>
      </c>
    </row>
    <row r="86" spans="1:8" x14ac:dyDescent="0.2">
      <c r="A86" t="s">
        <v>1248</v>
      </c>
      <c r="B86" t="s">
        <v>793</v>
      </c>
      <c r="C86" t="s">
        <v>1248</v>
      </c>
      <c r="D86" t="b">
        <v>0</v>
      </c>
      <c r="E86" t="s">
        <v>725</v>
      </c>
      <c r="F86" t="s">
        <v>747</v>
      </c>
      <c r="G86" t="s">
        <v>611</v>
      </c>
      <c r="H86" t="s">
        <v>612</v>
      </c>
    </row>
    <row r="87" spans="1:8" x14ac:dyDescent="0.2">
      <c r="A87" t="s">
        <v>1249</v>
      </c>
      <c r="B87" t="s">
        <v>794</v>
      </c>
      <c r="C87" t="s">
        <v>1249</v>
      </c>
      <c r="D87" t="b">
        <v>0</v>
      </c>
      <c r="E87" t="s">
        <v>725</v>
      </c>
      <c r="F87" t="s">
        <v>747</v>
      </c>
      <c r="G87" t="s">
        <v>611</v>
      </c>
      <c r="H87" t="s">
        <v>612</v>
      </c>
    </row>
    <row r="88" spans="1:8" x14ac:dyDescent="0.2">
      <c r="A88" t="s">
        <v>1250</v>
      </c>
      <c r="B88" t="s">
        <v>795</v>
      </c>
      <c r="C88" t="s">
        <v>1250</v>
      </c>
      <c r="D88" t="b">
        <v>0</v>
      </c>
      <c r="E88" t="s">
        <v>725</v>
      </c>
      <c r="F88" t="s">
        <v>747</v>
      </c>
      <c r="G88" t="s">
        <v>611</v>
      </c>
      <c r="H88" t="s">
        <v>612</v>
      </c>
    </row>
    <row r="89" spans="1:8" x14ac:dyDescent="0.2">
      <c r="A89" t="s">
        <v>1251</v>
      </c>
      <c r="B89" t="s">
        <v>787</v>
      </c>
      <c r="C89" t="s">
        <v>1251</v>
      </c>
      <c r="D89" t="b">
        <v>1</v>
      </c>
      <c r="E89" t="s">
        <v>725</v>
      </c>
      <c r="F89" s="111" t="s">
        <v>734</v>
      </c>
      <c r="G89" t="s">
        <v>611</v>
      </c>
      <c r="H89" t="s">
        <v>612</v>
      </c>
    </row>
    <row r="90" spans="1:8" x14ac:dyDescent="0.2">
      <c r="A90" t="s">
        <v>1252</v>
      </c>
      <c r="B90" t="s">
        <v>788</v>
      </c>
      <c r="C90" t="s">
        <v>1252</v>
      </c>
      <c r="D90" t="b">
        <v>1</v>
      </c>
      <c r="E90" t="s">
        <v>725</v>
      </c>
      <c r="F90" s="111" t="s">
        <v>734</v>
      </c>
      <c r="G90" t="s">
        <v>611</v>
      </c>
      <c r="H90" t="s">
        <v>612</v>
      </c>
    </row>
    <row r="91" spans="1:8" x14ac:dyDescent="0.2">
      <c r="A91" t="s">
        <v>1253</v>
      </c>
      <c r="B91" t="s">
        <v>789</v>
      </c>
      <c r="C91" t="s">
        <v>1253</v>
      </c>
      <c r="D91" t="b">
        <v>1</v>
      </c>
      <c r="E91" t="s">
        <v>725</v>
      </c>
      <c r="F91" s="111" t="s">
        <v>734</v>
      </c>
      <c r="G91" t="s">
        <v>611</v>
      </c>
      <c r="H91" t="s">
        <v>612</v>
      </c>
    </row>
    <row r="92" spans="1:8" x14ac:dyDescent="0.2">
      <c r="A92" t="s">
        <v>1254</v>
      </c>
      <c r="B92" t="s">
        <v>801</v>
      </c>
      <c r="C92" t="s">
        <v>1254</v>
      </c>
      <c r="D92" t="b">
        <v>0</v>
      </c>
      <c r="E92" t="s">
        <v>725</v>
      </c>
      <c r="F92" t="s">
        <v>747</v>
      </c>
      <c r="G92" t="s">
        <v>611</v>
      </c>
      <c r="H92" t="s">
        <v>612</v>
      </c>
    </row>
    <row r="93" spans="1:8" x14ac:dyDescent="0.2">
      <c r="A93" t="s">
        <v>1255</v>
      </c>
      <c r="B93" t="s">
        <v>802</v>
      </c>
      <c r="C93" t="s">
        <v>1255</v>
      </c>
      <c r="D93" t="b">
        <v>0</v>
      </c>
      <c r="E93" t="s">
        <v>725</v>
      </c>
      <c r="F93" t="s">
        <v>747</v>
      </c>
      <c r="G93" t="s">
        <v>611</v>
      </c>
      <c r="H93" t="s">
        <v>612</v>
      </c>
    </row>
    <row r="94" spans="1:8" x14ac:dyDescent="0.2">
      <c r="A94" t="s">
        <v>1256</v>
      </c>
      <c r="B94" t="s">
        <v>803</v>
      </c>
      <c r="C94" t="s">
        <v>1256</v>
      </c>
      <c r="D94" t="b">
        <v>0</v>
      </c>
      <c r="E94" t="s">
        <v>725</v>
      </c>
      <c r="F94" t="s">
        <v>747</v>
      </c>
      <c r="G94" t="s">
        <v>611</v>
      </c>
      <c r="H94" t="s">
        <v>612</v>
      </c>
    </row>
    <row r="95" spans="1:8" x14ac:dyDescent="0.2">
      <c r="A95" t="s">
        <v>1257</v>
      </c>
      <c r="B95" t="s">
        <v>804</v>
      </c>
      <c r="C95" t="s">
        <v>1257</v>
      </c>
      <c r="D95" t="b">
        <v>0</v>
      </c>
      <c r="E95" t="s">
        <v>725</v>
      </c>
      <c r="F95" t="s">
        <v>747</v>
      </c>
      <c r="G95" t="s">
        <v>611</v>
      </c>
      <c r="H95" t="s">
        <v>612</v>
      </c>
    </row>
    <row r="96" spans="1:8" x14ac:dyDescent="0.2">
      <c r="A96" t="s">
        <v>1258</v>
      </c>
      <c r="B96" t="s">
        <v>805</v>
      </c>
      <c r="C96" t="s">
        <v>1258</v>
      </c>
      <c r="D96" t="b">
        <v>0</v>
      </c>
      <c r="E96" t="s">
        <v>725</v>
      </c>
      <c r="F96" t="s">
        <v>747</v>
      </c>
      <c r="G96" t="s">
        <v>611</v>
      </c>
      <c r="H96" t="s">
        <v>612</v>
      </c>
    </row>
    <row r="97" spans="1:8" x14ac:dyDescent="0.2">
      <c r="A97" t="s">
        <v>1259</v>
      </c>
      <c r="B97" t="s">
        <v>806</v>
      </c>
      <c r="C97" t="s">
        <v>1259</v>
      </c>
      <c r="D97" t="b">
        <v>0</v>
      </c>
      <c r="E97" t="s">
        <v>725</v>
      </c>
      <c r="F97" t="s">
        <v>747</v>
      </c>
      <c r="G97" t="s">
        <v>611</v>
      </c>
      <c r="H97" t="s">
        <v>612</v>
      </c>
    </row>
    <row r="98" spans="1:8" x14ac:dyDescent="0.2">
      <c r="A98" t="s">
        <v>1260</v>
      </c>
      <c r="B98" t="s">
        <v>807</v>
      </c>
      <c r="C98" t="s">
        <v>1260</v>
      </c>
      <c r="D98" t="b">
        <v>0</v>
      </c>
      <c r="E98" t="s">
        <v>725</v>
      </c>
      <c r="F98" t="s">
        <v>747</v>
      </c>
      <c r="G98" t="s">
        <v>611</v>
      </c>
      <c r="H98" t="s">
        <v>612</v>
      </c>
    </row>
    <row r="99" spans="1:8" x14ac:dyDescent="0.2">
      <c r="A99" t="s">
        <v>1261</v>
      </c>
      <c r="B99" t="s">
        <v>808</v>
      </c>
      <c r="C99" t="s">
        <v>1261</v>
      </c>
      <c r="D99" t="b">
        <v>0</v>
      </c>
      <c r="E99" t="s">
        <v>725</v>
      </c>
      <c r="F99" t="s">
        <v>747</v>
      </c>
      <c r="G99" t="s">
        <v>611</v>
      </c>
      <c r="H99" t="s">
        <v>612</v>
      </c>
    </row>
    <row r="100" spans="1:8" x14ac:dyDescent="0.2">
      <c r="A100" t="s">
        <v>1262</v>
      </c>
      <c r="B100" t="s">
        <v>809</v>
      </c>
      <c r="C100" t="s">
        <v>1262</v>
      </c>
      <c r="D100" t="b">
        <v>0</v>
      </c>
      <c r="E100" t="s">
        <v>725</v>
      </c>
      <c r="F100" t="s">
        <v>747</v>
      </c>
      <c r="G100" t="s">
        <v>611</v>
      </c>
      <c r="H100" t="s">
        <v>612</v>
      </c>
    </row>
    <row r="101" spans="1:8" x14ac:dyDescent="0.2">
      <c r="A101" t="s">
        <v>1263</v>
      </c>
      <c r="B101" t="s">
        <v>810</v>
      </c>
      <c r="C101" t="s">
        <v>1263</v>
      </c>
      <c r="D101" t="b">
        <v>0</v>
      </c>
      <c r="E101" t="s">
        <v>725</v>
      </c>
      <c r="F101" t="s">
        <v>747</v>
      </c>
      <c r="G101" t="s">
        <v>611</v>
      </c>
      <c r="H101" t="s">
        <v>612</v>
      </c>
    </row>
    <row r="102" spans="1:8" x14ac:dyDescent="0.2">
      <c r="A102" t="s">
        <v>1264</v>
      </c>
      <c r="B102" t="s">
        <v>796</v>
      </c>
      <c r="C102" t="s">
        <v>1264</v>
      </c>
      <c r="D102" t="b">
        <v>1</v>
      </c>
      <c r="E102" t="s">
        <v>725</v>
      </c>
      <c r="F102" s="111" t="s">
        <v>734</v>
      </c>
      <c r="G102" t="s">
        <v>611</v>
      </c>
      <c r="H102" t="s">
        <v>612</v>
      </c>
    </row>
    <row r="103" spans="1:8" x14ac:dyDescent="0.2">
      <c r="A103" t="s">
        <v>1265</v>
      </c>
      <c r="B103" t="s">
        <v>797</v>
      </c>
      <c r="C103" t="s">
        <v>1265</v>
      </c>
      <c r="D103" t="b">
        <v>1</v>
      </c>
      <c r="E103" t="s">
        <v>725</v>
      </c>
      <c r="F103" s="111" t="s">
        <v>734</v>
      </c>
      <c r="G103" t="s">
        <v>611</v>
      </c>
      <c r="H103" t="s">
        <v>612</v>
      </c>
    </row>
    <row r="104" spans="1:8" x14ac:dyDescent="0.2">
      <c r="A104" t="s">
        <v>1266</v>
      </c>
      <c r="B104" t="s">
        <v>798</v>
      </c>
      <c r="C104" t="s">
        <v>1266</v>
      </c>
      <c r="D104" t="b">
        <v>1</v>
      </c>
      <c r="E104" t="s">
        <v>725</v>
      </c>
      <c r="F104" s="111" t="s">
        <v>734</v>
      </c>
      <c r="G104" t="s">
        <v>611</v>
      </c>
      <c r="H104" t="s">
        <v>612</v>
      </c>
    </row>
    <row r="105" spans="1:8" x14ac:dyDescent="0.2">
      <c r="A105" t="s">
        <v>1267</v>
      </c>
      <c r="B105" t="s">
        <v>799</v>
      </c>
      <c r="C105" t="s">
        <v>1267</v>
      </c>
      <c r="D105" t="b">
        <v>1</v>
      </c>
      <c r="E105" t="s">
        <v>725</v>
      </c>
      <c r="F105" s="111" t="s">
        <v>734</v>
      </c>
      <c r="G105" t="s">
        <v>611</v>
      </c>
      <c r="H105" t="s">
        <v>612</v>
      </c>
    </row>
    <row r="106" spans="1:8" x14ac:dyDescent="0.2">
      <c r="A106" t="s">
        <v>1268</v>
      </c>
      <c r="B106" t="s">
        <v>800</v>
      </c>
      <c r="C106" t="s">
        <v>1268</v>
      </c>
      <c r="D106" t="b">
        <v>1</v>
      </c>
      <c r="E106" t="s">
        <v>725</v>
      </c>
      <c r="F106" s="111" t="s">
        <v>734</v>
      </c>
      <c r="G106" t="s">
        <v>611</v>
      </c>
      <c r="H106" t="s">
        <v>612</v>
      </c>
    </row>
    <row r="107" spans="1:8" x14ac:dyDescent="0.2">
      <c r="A107" t="s">
        <v>1269</v>
      </c>
      <c r="B107" t="s">
        <v>812</v>
      </c>
      <c r="C107" t="s">
        <v>1269</v>
      </c>
      <c r="D107" t="b">
        <v>0</v>
      </c>
      <c r="E107" t="s">
        <v>725</v>
      </c>
      <c r="F107" t="s">
        <v>747</v>
      </c>
      <c r="G107" t="s">
        <v>611</v>
      </c>
      <c r="H107" t="s">
        <v>612</v>
      </c>
    </row>
    <row r="108" spans="1:8" x14ac:dyDescent="0.2">
      <c r="A108" t="s">
        <v>1270</v>
      </c>
      <c r="B108" t="s">
        <v>813</v>
      </c>
      <c r="C108" t="s">
        <v>1270</v>
      </c>
      <c r="D108" t="b">
        <v>0</v>
      </c>
      <c r="E108" t="s">
        <v>725</v>
      </c>
      <c r="F108" t="s">
        <v>747</v>
      </c>
      <c r="G108" t="s">
        <v>611</v>
      </c>
      <c r="H108" t="s">
        <v>612</v>
      </c>
    </row>
    <row r="109" spans="1:8" x14ac:dyDescent="0.2">
      <c r="A109" t="s">
        <v>1271</v>
      </c>
      <c r="B109" t="s">
        <v>811</v>
      </c>
      <c r="C109" t="s">
        <v>1271</v>
      </c>
      <c r="D109" t="b">
        <v>1</v>
      </c>
      <c r="E109" t="s">
        <v>725</v>
      </c>
      <c r="F109" s="111" t="s">
        <v>734</v>
      </c>
      <c r="G109" t="s">
        <v>611</v>
      </c>
      <c r="H109" t="s">
        <v>612</v>
      </c>
    </row>
    <row r="110" spans="1:8" x14ac:dyDescent="0.2">
      <c r="A110" t="s">
        <v>153</v>
      </c>
      <c r="B110" t="s">
        <v>814</v>
      </c>
      <c r="C110" t="s">
        <v>153</v>
      </c>
      <c r="D110" t="b">
        <v>1</v>
      </c>
      <c r="E110" t="s">
        <v>725</v>
      </c>
      <c r="F110" s="111" t="s">
        <v>726</v>
      </c>
      <c r="G110" s="111" t="s">
        <v>760</v>
      </c>
      <c r="H110" t="s">
        <v>612</v>
      </c>
    </row>
    <row r="111" spans="1:8" x14ac:dyDescent="0.2">
      <c r="A111" t="s">
        <v>1272</v>
      </c>
      <c r="B111" t="s">
        <v>815</v>
      </c>
      <c r="C111" t="s">
        <v>1272</v>
      </c>
      <c r="D111" t="b">
        <v>0</v>
      </c>
      <c r="E111" t="s">
        <v>725</v>
      </c>
      <c r="F111" t="s">
        <v>747</v>
      </c>
      <c r="G111" t="s">
        <v>611</v>
      </c>
      <c r="H111" t="s">
        <v>612</v>
      </c>
    </row>
    <row r="112" spans="1:8" x14ac:dyDescent="0.2">
      <c r="A112" t="s">
        <v>1273</v>
      </c>
      <c r="B112" t="s">
        <v>816</v>
      </c>
      <c r="C112" t="s">
        <v>1273</v>
      </c>
      <c r="D112" t="b">
        <v>0</v>
      </c>
      <c r="E112" t="s">
        <v>725</v>
      </c>
      <c r="F112" t="s">
        <v>747</v>
      </c>
      <c r="G112" t="s">
        <v>611</v>
      </c>
      <c r="H112" t="s">
        <v>612</v>
      </c>
    </row>
    <row r="113" spans="1:8" x14ac:dyDescent="0.2">
      <c r="A113" t="s">
        <v>1274</v>
      </c>
      <c r="B113" t="s">
        <v>817</v>
      </c>
      <c r="C113" t="s">
        <v>1274</v>
      </c>
      <c r="D113" t="b">
        <v>0</v>
      </c>
      <c r="E113" t="s">
        <v>725</v>
      </c>
      <c r="F113" t="s">
        <v>747</v>
      </c>
      <c r="G113" t="s">
        <v>611</v>
      </c>
      <c r="H113" t="s">
        <v>612</v>
      </c>
    </row>
    <row r="114" spans="1:8" x14ac:dyDescent="0.2">
      <c r="A114" t="s">
        <v>1275</v>
      </c>
      <c r="B114" t="s">
        <v>818</v>
      </c>
      <c r="C114" t="s">
        <v>1275</v>
      </c>
      <c r="D114" t="b">
        <v>0</v>
      </c>
      <c r="E114" t="s">
        <v>725</v>
      </c>
      <c r="F114" t="s">
        <v>747</v>
      </c>
      <c r="G114" t="s">
        <v>611</v>
      </c>
      <c r="H114" t="s">
        <v>612</v>
      </c>
    </row>
    <row r="115" spans="1:8" x14ac:dyDescent="0.2">
      <c r="A115" t="s">
        <v>1276</v>
      </c>
      <c r="B115" t="s">
        <v>819</v>
      </c>
      <c r="C115" t="s">
        <v>1276</v>
      </c>
      <c r="D115" t="b">
        <v>0</v>
      </c>
      <c r="E115" t="s">
        <v>725</v>
      </c>
      <c r="F115" t="s">
        <v>747</v>
      </c>
      <c r="G115" t="s">
        <v>611</v>
      </c>
      <c r="H115" t="s">
        <v>612</v>
      </c>
    </row>
    <row r="116" spans="1:8" x14ac:dyDescent="0.2">
      <c r="A116" t="s">
        <v>1277</v>
      </c>
      <c r="B116" t="s">
        <v>820</v>
      </c>
      <c r="C116" t="s">
        <v>1277</v>
      </c>
      <c r="D116" t="b">
        <v>0</v>
      </c>
      <c r="E116" t="s">
        <v>725</v>
      </c>
      <c r="F116" t="s">
        <v>747</v>
      </c>
      <c r="G116" t="s">
        <v>611</v>
      </c>
      <c r="H116" t="s">
        <v>612</v>
      </c>
    </row>
    <row r="117" spans="1:8" x14ac:dyDescent="0.2">
      <c r="A117" t="s">
        <v>1278</v>
      </c>
      <c r="B117" t="s">
        <v>821</v>
      </c>
      <c r="C117" t="s">
        <v>1278</v>
      </c>
      <c r="D117" t="b">
        <v>0</v>
      </c>
      <c r="E117" t="s">
        <v>725</v>
      </c>
      <c r="F117" t="s">
        <v>747</v>
      </c>
      <c r="G117" t="s">
        <v>611</v>
      </c>
      <c r="H117" t="s">
        <v>612</v>
      </c>
    </row>
    <row r="118" spans="1:8" x14ac:dyDescent="0.2">
      <c r="A118" t="s">
        <v>1279</v>
      </c>
      <c r="B118" t="s">
        <v>822</v>
      </c>
      <c r="C118" t="s">
        <v>1279</v>
      </c>
      <c r="D118" t="b">
        <v>0</v>
      </c>
      <c r="E118" t="s">
        <v>725</v>
      </c>
      <c r="F118" t="s">
        <v>747</v>
      </c>
      <c r="G118" t="s">
        <v>611</v>
      </c>
      <c r="H118" t="s">
        <v>612</v>
      </c>
    </row>
    <row r="119" spans="1:8" x14ac:dyDescent="0.2">
      <c r="A119" t="s">
        <v>1280</v>
      </c>
      <c r="B119" t="s">
        <v>823</v>
      </c>
      <c r="C119" t="s">
        <v>1280</v>
      </c>
      <c r="D119" t="b">
        <v>1</v>
      </c>
      <c r="E119" t="s">
        <v>725</v>
      </c>
      <c r="F119" s="111" t="s">
        <v>734</v>
      </c>
      <c r="G119" t="s">
        <v>611</v>
      </c>
      <c r="H119" t="s">
        <v>612</v>
      </c>
    </row>
    <row r="120" spans="1:8" x14ac:dyDescent="0.2">
      <c r="A120" t="s">
        <v>1281</v>
      </c>
      <c r="B120" t="s">
        <v>824</v>
      </c>
      <c r="C120" t="s">
        <v>1281</v>
      </c>
      <c r="D120" t="b">
        <v>1</v>
      </c>
      <c r="E120" t="s">
        <v>725</v>
      </c>
      <c r="F120" s="111" t="s">
        <v>734</v>
      </c>
      <c r="G120" t="s">
        <v>611</v>
      </c>
      <c r="H120" t="s">
        <v>612</v>
      </c>
    </row>
    <row r="121" spans="1:8" x14ac:dyDescent="0.2">
      <c r="A121" t="s">
        <v>1282</v>
      </c>
      <c r="B121" t="s">
        <v>825</v>
      </c>
      <c r="C121" t="s">
        <v>1282</v>
      </c>
      <c r="D121" t="b">
        <v>1</v>
      </c>
      <c r="E121" t="s">
        <v>725</v>
      </c>
      <c r="F121" s="111" t="s">
        <v>734</v>
      </c>
      <c r="G121" t="s">
        <v>611</v>
      </c>
      <c r="H121" t="s">
        <v>612</v>
      </c>
    </row>
    <row r="122" spans="1:8" x14ac:dyDescent="0.2">
      <c r="A122" t="s">
        <v>1283</v>
      </c>
      <c r="B122" t="s">
        <v>826</v>
      </c>
      <c r="C122" t="s">
        <v>1283</v>
      </c>
      <c r="D122" t="b">
        <v>1</v>
      </c>
      <c r="E122" t="s">
        <v>725</v>
      </c>
      <c r="F122" s="111" t="s">
        <v>734</v>
      </c>
      <c r="G122" t="s">
        <v>611</v>
      </c>
      <c r="H122" t="s">
        <v>612</v>
      </c>
    </row>
    <row r="123" spans="1:8" x14ac:dyDescent="0.2">
      <c r="A123" t="s">
        <v>1284</v>
      </c>
      <c r="B123" t="s">
        <v>831</v>
      </c>
      <c r="C123" t="s">
        <v>1284</v>
      </c>
      <c r="D123" t="b">
        <v>0</v>
      </c>
      <c r="E123" t="s">
        <v>725</v>
      </c>
      <c r="F123" t="s">
        <v>747</v>
      </c>
      <c r="G123" t="s">
        <v>611</v>
      </c>
      <c r="H123" t="s">
        <v>612</v>
      </c>
    </row>
    <row r="124" spans="1:8" x14ac:dyDescent="0.2">
      <c r="A124" t="s">
        <v>1285</v>
      </c>
      <c r="B124" t="s">
        <v>832</v>
      </c>
      <c r="C124" t="s">
        <v>1285</v>
      </c>
      <c r="D124" t="b">
        <v>0</v>
      </c>
      <c r="E124" t="s">
        <v>725</v>
      </c>
      <c r="F124" t="s">
        <v>747</v>
      </c>
      <c r="G124" t="s">
        <v>611</v>
      </c>
      <c r="H124" t="s">
        <v>612</v>
      </c>
    </row>
    <row r="125" spans="1:8" x14ac:dyDescent="0.2">
      <c r="A125" t="s">
        <v>1286</v>
      </c>
      <c r="B125" t="s">
        <v>833</v>
      </c>
      <c r="C125" t="s">
        <v>1286</v>
      </c>
      <c r="D125" t="b">
        <v>0</v>
      </c>
      <c r="E125" t="s">
        <v>725</v>
      </c>
      <c r="F125" t="s">
        <v>747</v>
      </c>
      <c r="G125" t="s">
        <v>611</v>
      </c>
      <c r="H125" t="s">
        <v>612</v>
      </c>
    </row>
    <row r="126" spans="1:8" x14ac:dyDescent="0.2">
      <c r="A126" t="s">
        <v>1287</v>
      </c>
      <c r="B126" t="s">
        <v>834</v>
      </c>
      <c r="C126" t="s">
        <v>1287</v>
      </c>
      <c r="D126" t="b">
        <v>0</v>
      </c>
      <c r="E126" t="s">
        <v>725</v>
      </c>
      <c r="F126" t="s">
        <v>747</v>
      </c>
      <c r="G126" t="s">
        <v>611</v>
      </c>
      <c r="H126" t="s">
        <v>612</v>
      </c>
    </row>
    <row r="127" spans="1:8" x14ac:dyDescent="0.2">
      <c r="A127" t="s">
        <v>1288</v>
      </c>
      <c r="B127" t="s">
        <v>827</v>
      </c>
      <c r="C127" t="s">
        <v>1288</v>
      </c>
      <c r="D127" t="b">
        <v>1</v>
      </c>
      <c r="E127" t="s">
        <v>725</v>
      </c>
      <c r="F127" s="111" t="s">
        <v>734</v>
      </c>
      <c r="G127" t="s">
        <v>611</v>
      </c>
      <c r="H127" t="s">
        <v>612</v>
      </c>
    </row>
    <row r="128" spans="1:8" x14ac:dyDescent="0.2">
      <c r="A128" t="s">
        <v>1289</v>
      </c>
      <c r="B128" t="s">
        <v>828</v>
      </c>
      <c r="C128" t="s">
        <v>1289</v>
      </c>
      <c r="D128" t="b">
        <v>1</v>
      </c>
      <c r="E128" t="s">
        <v>725</v>
      </c>
      <c r="F128" s="111" t="s">
        <v>734</v>
      </c>
      <c r="G128" t="s">
        <v>611</v>
      </c>
      <c r="H128" t="s">
        <v>612</v>
      </c>
    </row>
    <row r="129" spans="1:8" x14ac:dyDescent="0.2">
      <c r="A129" t="s">
        <v>1290</v>
      </c>
      <c r="B129" t="s">
        <v>829</v>
      </c>
      <c r="C129" t="s">
        <v>1290</v>
      </c>
      <c r="D129" t="b">
        <v>1</v>
      </c>
      <c r="E129" t="s">
        <v>725</v>
      </c>
      <c r="F129" s="111" t="s">
        <v>734</v>
      </c>
      <c r="G129" t="s">
        <v>611</v>
      </c>
      <c r="H129" t="s">
        <v>612</v>
      </c>
    </row>
    <row r="130" spans="1:8" x14ac:dyDescent="0.2">
      <c r="A130" t="s">
        <v>1291</v>
      </c>
      <c r="B130" t="s">
        <v>830</v>
      </c>
      <c r="C130" t="s">
        <v>1291</v>
      </c>
      <c r="D130" t="b">
        <v>1</v>
      </c>
      <c r="E130" t="s">
        <v>725</v>
      </c>
      <c r="F130" s="111" t="s">
        <v>734</v>
      </c>
      <c r="G130" t="s">
        <v>611</v>
      </c>
      <c r="H130" t="s">
        <v>612</v>
      </c>
    </row>
    <row r="131" spans="1:8" x14ac:dyDescent="0.2">
      <c r="A131" t="s">
        <v>1292</v>
      </c>
      <c r="B131" t="s">
        <v>840</v>
      </c>
      <c r="C131" t="s">
        <v>1292</v>
      </c>
      <c r="D131" t="b">
        <v>0</v>
      </c>
      <c r="E131" t="s">
        <v>725</v>
      </c>
      <c r="F131" t="s">
        <v>747</v>
      </c>
      <c r="G131" t="s">
        <v>611</v>
      </c>
      <c r="H131" t="s">
        <v>612</v>
      </c>
    </row>
    <row r="132" spans="1:8" x14ac:dyDescent="0.2">
      <c r="A132" t="s">
        <v>1293</v>
      </c>
      <c r="B132" t="s">
        <v>841</v>
      </c>
      <c r="C132" t="s">
        <v>1293</v>
      </c>
      <c r="D132" t="b">
        <v>0</v>
      </c>
      <c r="E132" t="s">
        <v>725</v>
      </c>
      <c r="F132" t="s">
        <v>747</v>
      </c>
      <c r="G132" t="s">
        <v>611</v>
      </c>
      <c r="H132" t="s">
        <v>612</v>
      </c>
    </row>
    <row r="133" spans="1:8" x14ac:dyDescent="0.2">
      <c r="A133" t="s">
        <v>1294</v>
      </c>
      <c r="B133" t="s">
        <v>842</v>
      </c>
      <c r="C133" t="s">
        <v>1294</v>
      </c>
      <c r="D133" t="b">
        <v>0</v>
      </c>
      <c r="E133" t="s">
        <v>725</v>
      </c>
      <c r="F133" t="s">
        <v>747</v>
      </c>
      <c r="G133" t="s">
        <v>611</v>
      </c>
      <c r="H133" t="s">
        <v>612</v>
      </c>
    </row>
    <row r="134" spans="1:8" x14ac:dyDescent="0.2">
      <c r="A134" t="s">
        <v>1295</v>
      </c>
      <c r="B134" t="s">
        <v>843</v>
      </c>
      <c r="C134" t="s">
        <v>1295</v>
      </c>
      <c r="D134" t="b">
        <v>0</v>
      </c>
      <c r="E134" t="s">
        <v>725</v>
      </c>
      <c r="F134" t="s">
        <v>747</v>
      </c>
      <c r="G134" t="s">
        <v>611</v>
      </c>
      <c r="H134" t="s">
        <v>612</v>
      </c>
    </row>
    <row r="135" spans="1:8" x14ac:dyDescent="0.2">
      <c r="A135" t="s">
        <v>1296</v>
      </c>
      <c r="B135" t="s">
        <v>844</v>
      </c>
      <c r="C135" t="s">
        <v>1296</v>
      </c>
      <c r="D135" t="b">
        <v>0</v>
      </c>
      <c r="E135" t="s">
        <v>725</v>
      </c>
      <c r="F135" t="s">
        <v>747</v>
      </c>
      <c r="G135" t="s">
        <v>611</v>
      </c>
      <c r="H135" t="s">
        <v>612</v>
      </c>
    </row>
    <row r="136" spans="1:8" x14ac:dyDescent="0.2">
      <c r="A136" t="s">
        <v>1297</v>
      </c>
      <c r="B136" t="s">
        <v>845</v>
      </c>
      <c r="C136" t="s">
        <v>1297</v>
      </c>
      <c r="D136" t="b">
        <v>0</v>
      </c>
      <c r="E136" t="s">
        <v>725</v>
      </c>
      <c r="F136" t="s">
        <v>747</v>
      </c>
      <c r="G136" t="s">
        <v>611</v>
      </c>
      <c r="H136" t="s">
        <v>612</v>
      </c>
    </row>
    <row r="137" spans="1:8" x14ac:dyDescent="0.2">
      <c r="A137" t="s">
        <v>1298</v>
      </c>
      <c r="B137" t="s">
        <v>846</v>
      </c>
      <c r="C137" t="s">
        <v>1298</v>
      </c>
      <c r="D137" t="b">
        <v>0</v>
      </c>
      <c r="E137" t="s">
        <v>725</v>
      </c>
      <c r="F137" t="s">
        <v>747</v>
      </c>
      <c r="G137" t="s">
        <v>611</v>
      </c>
      <c r="H137" t="s">
        <v>612</v>
      </c>
    </row>
    <row r="138" spans="1:8" x14ac:dyDescent="0.2">
      <c r="A138" t="s">
        <v>1299</v>
      </c>
      <c r="B138" t="s">
        <v>847</v>
      </c>
      <c r="C138" t="s">
        <v>1299</v>
      </c>
      <c r="D138" t="b">
        <v>0</v>
      </c>
      <c r="E138" t="s">
        <v>725</v>
      </c>
      <c r="F138" t="s">
        <v>747</v>
      </c>
      <c r="G138" t="s">
        <v>611</v>
      </c>
      <c r="H138" t="s">
        <v>612</v>
      </c>
    </row>
    <row r="139" spans="1:8" x14ac:dyDescent="0.2">
      <c r="A139" t="s">
        <v>1300</v>
      </c>
      <c r="B139" t="s">
        <v>848</v>
      </c>
      <c r="C139" t="s">
        <v>1300</v>
      </c>
      <c r="D139" t="b">
        <v>0</v>
      </c>
      <c r="E139" t="s">
        <v>725</v>
      </c>
      <c r="F139" t="s">
        <v>747</v>
      </c>
      <c r="G139" t="s">
        <v>611</v>
      </c>
      <c r="H139" t="s">
        <v>612</v>
      </c>
    </row>
    <row r="140" spans="1:8" x14ac:dyDescent="0.2">
      <c r="A140" t="s">
        <v>1301</v>
      </c>
      <c r="B140" t="s">
        <v>849</v>
      </c>
      <c r="C140" t="s">
        <v>1301</v>
      </c>
      <c r="D140" t="b">
        <v>0</v>
      </c>
      <c r="E140" t="s">
        <v>725</v>
      </c>
      <c r="F140" t="s">
        <v>747</v>
      </c>
      <c r="G140" t="s">
        <v>611</v>
      </c>
      <c r="H140" t="s">
        <v>612</v>
      </c>
    </row>
    <row r="141" spans="1:8" x14ac:dyDescent="0.2">
      <c r="A141" t="s">
        <v>1302</v>
      </c>
      <c r="B141" t="s">
        <v>850</v>
      </c>
      <c r="C141" t="s">
        <v>1302</v>
      </c>
      <c r="D141" t="b">
        <v>0</v>
      </c>
      <c r="E141" t="s">
        <v>725</v>
      </c>
      <c r="F141" t="s">
        <v>747</v>
      </c>
      <c r="G141" t="s">
        <v>611</v>
      </c>
      <c r="H141" t="s">
        <v>612</v>
      </c>
    </row>
    <row r="142" spans="1:8" x14ac:dyDescent="0.2">
      <c r="A142" t="s">
        <v>1303</v>
      </c>
      <c r="B142" t="s">
        <v>851</v>
      </c>
      <c r="C142" t="s">
        <v>1303</v>
      </c>
      <c r="D142" t="b">
        <v>0</v>
      </c>
      <c r="E142" t="s">
        <v>725</v>
      </c>
      <c r="F142" t="s">
        <v>747</v>
      </c>
      <c r="G142" t="s">
        <v>611</v>
      </c>
      <c r="H142" t="s">
        <v>612</v>
      </c>
    </row>
    <row r="143" spans="1:8" x14ac:dyDescent="0.2">
      <c r="A143" t="s">
        <v>1304</v>
      </c>
      <c r="B143" t="s">
        <v>852</v>
      </c>
      <c r="C143" t="s">
        <v>1304</v>
      </c>
      <c r="D143" t="b">
        <v>0</v>
      </c>
      <c r="E143" t="s">
        <v>725</v>
      </c>
      <c r="F143" t="s">
        <v>747</v>
      </c>
      <c r="G143" t="s">
        <v>611</v>
      </c>
      <c r="H143" t="s">
        <v>612</v>
      </c>
    </row>
    <row r="144" spans="1:8" x14ac:dyDescent="0.2">
      <c r="A144" t="s">
        <v>1305</v>
      </c>
      <c r="B144" t="s">
        <v>853</v>
      </c>
      <c r="C144" t="s">
        <v>1305</v>
      </c>
      <c r="D144" t="b">
        <v>0</v>
      </c>
      <c r="E144" t="s">
        <v>725</v>
      </c>
      <c r="F144" t="s">
        <v>747</v>
      </c>
      <c r="G144" t="s">
        <v>611</v>
      </c>
      <c r="H144" t="s">
        <v>612</v>
      </c>
    </row>
    <row r="145" spans="1:8" x14ac:dyDescent="0.2">
      <c r="A145" t="s">
        <v>1306</v>
      </c>
      <c r="B145" t="s">
        <v>854</v>
      </c>
      <c r="C145" t="s">
        <v>1306</v>
      </c>
      <c r="D145" t="b">
        <v>0</v>
      </c>
      <c r="E145" t="s">
        <v>725</v>
      </c>
      <c r="F145" t="s">
        <v>747</v>
      </c>
      <c r="G145" t="s">
        <v>611</v>
      </c>
      <c r="H145" t="s">
        <v>612</v>
      </c>
    </row>
    <row r="146" spans="1:8" x14ac:dyDescent="0.2">
      <c r="A146" t="s">
        <v>1307</v>
      </c>
      <c r="B146" t="s">
        <v>835</v>
      </c>
      <c r="C146" t="s">
        <v>1307</v>
      </c>
      <c r="D146" t="b">
        <v>1</v>
      </c>
      <c r="E146" t="s">
        <v>725</v>
      </c>
      <c r="F146" s="111" t="s">
        <v>734</v>
      </c>
      <c r="G146" t="s">
        <v>611</v>
      </c>
      <c r="H146" t="s">
        <v>612</v>
      </c>
    </row>
    <row r="147" spans="1:8" x14ac:dyDescent="0.2">
      <c r="A147" t="s">
        <v>1308</v>
      </c>
      <c r="B147" t="s">
        <v>836</v>
      </c>
      <c r="C147" t="s">
        <v>1308</v>
      </c>
      <c r="D147" t="b">
        <v>1</v>
      </c>
      <c r="E147" t="s">
        <v>725</v>
      </c>
      <c r="F147" s="111" t="s">
        <v>734</v>
      </c>
      <c r="G147" t="s">
        <v>611</v>
      </c>
      <c r="H147" t="s">
        <v>612</v>
      </c>
    </row>
    <row r="148" spans="1:8" x14ac:dyDescent="0.2">
      <c r="A148" t="s">
        <v>1309</v>
      </c>
      <c r="B148" t="s">
        <v>837</v>
      </c>
      <c r="C148" t="s">
        <v>1309</v>
      </c>
      <c r="D148" t="b">
        <v>1</v>
      </c>
      <c r="E148" t="s">
        <v>725</v>
      </c>
      <c r="F148" s="111" t="s">
        <v>734</v>
      </c>
      <c r="G148" t="s">
        <v>611</v>
      </c>
      <c r="H148" t="s">
        <v>612</v>
      </c>
    </row>
    <row r="149" spans="1:8" x14ac:dyDescent="0.2">
      <c r="A149" t="s">
        <v>1310</v>
      </c>
      <c r="B149" t="s">
        <v>838</v>
      </c>
      <c r="C149" t="s">
        <v>1310</v>
      </c>
      <c r="D149" t="b">
        <v>1</v>
      </c>
      <c r="E149" t="s">
        <v>725</v>
      </c>
      <c r="F149" s="111" t="s">
        <v>734</v>
      </c>
      <c r="G149" t="s">
        <v>611</v>
      </c>
      <c r="H149" t="s">
        <v>612</v>
      </c>
    </row>
    <row r="150" spans="1:8" x14ac:dyDescent="0.2">
      <c r="A150" t="s">
        <v>1311</v>
      </c>
      <c r="B150" t="s">
        <v>839</v>
      </c>
      <c r="C150" t="s">
        <v>1311</v>
      </c>
      <c r="D150" t="b">
        <v>1</v>
      </c>
      <c r="E150" t="s">
        <v>725</v>
      </c>
      <c r="F150" s="111" t="s">
        <v>734</v>
      </c>
      <c r="G150" t="s">
        <v>611</v>
      </c>
      <c r="H150" t="s">
        <v>612</v>
      </c>
    </row>
    <row r="151" spans="1:8" x14ac:dyDescent="0.2">
      <c r="A151" t="s">
        <v>1312</v>
      </c>
      <c r="B151" t="s">
        <v>1083</v>
      </c>
      <c r="C151" t="s">
        <v>1312</v>
      </c>
      <c r="D151" t="b">
        <v>1</v>
      </c>
      <c r="E151" t="s">
        <v>725</v>
      </c>
      <c r="F151" t="s">
        <v>747</v>
      </c>
      <c r="G151" t="s">
        <v>611</v>
      </c>
      <c r="H151" t="s">
        <v>612</v>
      </c>
    </row>
    <row r="152" spans="1:8" x14ac:dyDescent="0.2">
      <c r="A152" t="s">
        <v>1313</v>
      </c>
      <c r="B152" t="s">
        <v>1084</v>
      </c>
      <c r="C152" t="s">
        <v>1313</v>
      </c>
      <c r="D152" t="b">
        <v>1</v>
      </c>
      <c r="E152" t="s">
        <v>725</v>
      </c>
      <c r="F152" t="s">
        <v>747</v>
      </c>
      <c r="G152" t="s">
        <v>611</v>
      </c>
      <c r="H152" t="s">
        <v>612</v>
      </c>
    </row>
    <row r="153" spans="1:8" x14ac:dyDescent="0.2">
      <c r="A153" t="s">
        <v>1314</v>
      </c>
      <c r="B153" t="s">
        <v>1085</v>
      </c>
      <c r="C153" t="s">
        <v>1314</v>
      </c>
      <c r="D153" t="b">
        <v>1</v>
      </c>
      <c r="E153" t="s">
        <v>725</v>
      </c>
      <c r="F153" t="s">
        <v>747</v>
      </c>
      <c r="G153" t="s">
        <v>611</v>
      </c>
      <c r="H153" t="s">
        <v>612</v>
      </c>
    </row>
    <row r="154" spans="1:8" x14ac:dyDescent="0.2">
      <c r="A154" t="s">
        <v>1315</v>
      </c>
      <c r="B154" t="s">
        <v>1086</v>
      </c>
      <c r="C154" t="s">
        <v>1315</v>
      </c>
      <c r="D154" t="b">
        <v>1</v>
      </c>
      <c r="E154" t="s">
        <v>725</v>
      </c>
      <c r="F154" t="s">
        <v>747</v>
      </c>
      <c r="G154" t="s">
        <v>611</v>
      </c>
      <c r="H154" t="s">
        <v>612</v>
      </c>
    </row>
    <row r="155" spans="1:8" x14ac:dyDescent="0.2">
      <c r="A155" t="s">
        <v>1316</v>
      </c>
      <c r="B155" t="s">
        <v>1087</v>
      </c>
      <c r="C155" t="s">
        <v>1316</v>
      </c>
      <c r="D155" t="b">
        <v>1</v>
      </c>
      <c r="E155" t="s">
        <v>725</v>
      </c>
      <c r="F155" t="s">
        <v>747</v>
      </c>
      <c r="G155" t="s">
        <v>611</v>
      </c>
      <c r="H155" t="s">
        <v>612</v>
      </c>
    </row>
    <row r="156" spans="1:8" x14ac:dyDescent="0.2">
      <c r="A156" t="s">
        <v>1317</v>
      </c>
      <c r="B156" t="s">
        <v>1088</v>
      </c>
      <c r="C156" t="s">
        <v>1317</v>
      </c>
      <c r="D156" t="b">
        <v>1</v>
      </c>
      <c r="E156" t="s">
        <v>725</v>
      </c>
      <c r="F156" t="s">
        <v>747</v>
      </c>
      <c r="G156" t="s">
        <v>611</v>
      </c>
      <c r="H156" t="s">
        <v>612</v>
      </c>
    </row>
    <row r="157" spans="1:8" x14ac:dyDescent="0.2">
      <c r="A157" t="s">
        <v>1318</v>
      </c>
      <c r="B157" t="s">
        <v>1089</v>
      </c>
      <c r="C157" t="s">
        <v>1318</v>
      </c>
      <c r="D157" t="b">
        <v>1</v>
      </c>
      <c r="E157" t="s">
        <v>725</v>
      </c>
      <c r="F157" t="s">
        <v>747</v>
      </c>
      <c r="G157" t="s">
        <v>611</v>
      </c>
      <c r="H157" t="s">
        <v>612</v>
      </c>
    </row>
    <row r="158" spans="1:8" x14ac:dyDescent="0.2">
      <c r="A158" t="s">
        <v>1319</v>
      </c>
      <c r="B158" t="s">
        <v>1090</v>
      </c>
      <c r="C158" t="s">
        <v>1319</v>
      </c>
      <c r="D158" t="b">
        <v>1</v>
      </c>
      <c r="E158" t="s">
        <v>725</v>
      </c>
      <c r="F158" t="s">
        <v>747</v>
      </c>
      <c r="G158" t="s">
        <v>611</v>
      </c>
      <c r="H158" t="s">
        <v>612</v>
      </c>
    </row>
    <row r="159" spans="1:8" x14ac:dyDescent="0.2">
      <c r="A159" t="s">
        <v>1320</v>
      </c>
      <c r="B159" t="s">
        <v>1091</v>
      </c>
      <c r="C159" t="s">
        <v>1320</v>
      </c>
      <c r="D159" t="b">
        <v>1</v>
      </c>
      <c r="E159" t="s">
        <v>725</v>
      </c>
      <c r="F159" t="s">
        <v>747</v>
      </c>
      <c r="G159" t="s">
        <v>611</v>
      </c>
      <c r="H159" t="s">
        <v>612</v>
      </c>
    </row>
    <row r="160" spans="1:8" x14ac:dyDescent="0.2">
      <c r="A160" t="s">
        <v>1321</v>
      </c>
      <c r="B160" t="s">
        <v>1092</v>
      </c>
      <c r="C160" t="s">
        <v>1321</v>
      </c>
      <c r="D160" t="b">
        <v>1</v>
      </c>
      <c r="E160" t="s">
        <v>725</v>
      </c>
      <c r="F160" t="s">
        <v>747</v>
      </c>
      <c r="G160" t="s">
        <v>611</v>
      </c>
      <c r="H160" t="s">
        <v>612</v>
      </c>
    </row>
    <row r="161" spans="1:8" x14ac:dyDescent="0.2">
      <c r="A161" t="s">
        <v>1322</v>
      </c>
      <c r="B161" t="s">
        <v>1093</v>
      </c>
      <c r="C161" t="s">
        <v>1322</v>
      </c>
      <c r="D161" t="b">
        <v>1</v>
      </c>
      <c r="E161" t="s">
        <v>725</v>
      </c>
      <c r="F161" t="s">
        <v>747</v>
      </c>
      <c r="G161" t="s">
        <v>611</v>
      </c>
      <c r="H161" t="s">
        <v>612</v>
      </c>
    </row>
    <row r="162" spans="1:8" x14ac:dyDescent="0.2">
      <c r="A162" t="s">
        <v>1323</v>
      </c>
      <c r="B162" t="s">
        <v>1094</v>
      </c>
      <c r="C162" t="s">
        <v>1323</v>
      </c>
      <c r="D162" t="b">
        <v>1</v>
      </c>
      <c r="E162" t="s">
        <v>725</v>
      </c>
      <c r="F162" t="s">
        <v>747</v>
      </c>
      <c r="G162" t="s">
        <v>611</v>
      </c>
      <c r="H162" t="s">
        <v>612</v>
      </c>
    </row>
    <row r="163" spans="1:8" x14ac:dyDescent="0.2">
      <c r="A163" t="s">
        <v>1324</v>
      </c>
      <c r="B163" t="s">
        <v>1095</v>
      </c>
      <c r="C163" t="s">
        <v>1324</v>
      </c>
      <c r="D163" t="b">
        <v>1</v>
      </c>
      <c r="E163" t="s">
        <v>725</v>
      </c>
      <c r="F163" t="s">
        <v>747</v>
      </c>
      <c r="G163" t="s">
        <v>611</v>
      </c>
      <c r="H163" t="s">
        <v>612</v>
      </c>
    </row>
    <row r="164" spans="1:8" x14ac:dyDescent="0.2">
      <c r="A164" t="s">
        <v>1325</v>
      </c>
      <c r="B164" t="s">
        <v>1096</v>
      </c>
      <c r="C164" t="s">
        <v>1325</v>
      </c>
      <c r="D164" t="b">
        <v>1</v>
      </c>
      <c r="E164" t="s">
        <v>725</v>
      </c>
      <c r="F164" t="s">
        <v>747</v>
      </c>
      <c r="G164" t="s">
        <v>611</v>
      </c>
      <c r="H164" t="s">
        <v>612</v>
      </c>
    </row>
    <row r="165" spans="1:8" x14ac:dyDescent="0.2">
      <c r="A165" t="s">
        <v>1326</v>
      </c>
      <c r="B165" t="s">
        <v>1097</v>
      </c>
      <c r="C165" t="s">
        <v>1326</v>
      </c>
      <c r="D165" t="b">
        <v>1</v>
      </c>
      <c r="E165" t="s">
        <v>725</v>
      </c>
      <c r="F165" t="s">
        <v>747</v>
      </c>
      <c r="G165" t="s">
        <v>611</v>
      </c>
      <c r="H165" t="s">
        <v>612</v>
      </c>
    </row>
    <row r="166" spans="1:8" x14ac:dyDescent="0.2">
      <c r="A166" t="s">
        <v>1327</v>
      </c>
      <c r="B166" t="s">
        <v>1098</v>
      </c>
      <c r="C166" t="s">
        <v>1327</v>
      </c>
      <c r="D166" t="b">
        <v>1</v>
      </c>
      <c r="E166" t="s">
        <v>725</v>
      </c>
      <c r="F166" t="s">
        <v>747</v>
      </c>
      <c r="G166" t="s">
        <v>611</v>
      </c>
      <c r="H166" t="s">
        <v>612</v>
      </c>
    </row>
    <row r="167" spans="1:8" x14ac:dyDescent="0.2">
      <c r="A167" t="s">
        <v>1328</v>
      </c>
      <c r="B167" t="s">
        <v>1099</v>
      </c>
      <c r="C167" t="s">
        <v>1328</v>
      </c>
      <c r="D167" t="b">
        <v>1</v>
      </c>
      <c r="E167" t="s">
        <v>725</v>
      </c>
      <c r="F167" s="111" t="s">
        <v>734</v>
      </c>
      <c r="G167" t="s">
        <v>611</v>
      </c>
      <c r="H167" t="s">
        <v>612</v>
      </c>
    </row>
    <row r="168" spans="1:8" x14ac:dyDescent="0.2">
      <c r="A168" t="s">
        <v>1329</v>
      </c>
      <c r="B168" t="s">
        <v>1100</v>
      </c>
      <c r="C168" t="s">
        <v>1329</v>
      </c>
      <c r="D168" t="b">
        <v>1</v>
      </c>
      <c r="E168" t="s">
        <v>725</v>
      </c>
      <c r="F168" s="111" t="s">
        <v>734</v>
      </c>
      <c r="G168" t="s">
        <v>611</v>
      </c>
      <c r="H168" t="s">
        <v>612</v>
      </c>
    </row>
    <row r="169" spans="1:8" x14ac:dyDescent="0.2">
      <c r="A169" t="s">
        <v>1330</v>
      </c>
      <c r="B169" t="s">
        <v>1101</v>
      </c>
      <c r="C169" t="s">
        <v>1330</v>
      </c>
      <c r="D169" t="b">
        <v>1</v>
      </c>
      <c r="E169" t="s">
        <v>725</v>
      </c>
      <c r="F169" s="111" t="s">
        <v>734</v>
      </c>
      <c r="G169" t="s">
        <v>611</v>
      </c>
      <c r="H169" t="s">
        <v>612</v>
      </c>
    </row>
    <row r="170" spans="1:8" x14ac:dyDescent="0.2">
      <c r="A170" t="s">
        <v>1331</v>
      </c>
      <c r="B170" t="s">
        <v>1102</v>
      </c>
      <c r="C170" t="s">
        <v>1331</v>
      </c>
      <c r="D170" t="b">
        <v>1</v>
      </c>
      <c r="E170" t="s">
        <v>725</v>
      </c>
      <c r="F170" s="111" t="s">
        <v>734</v>
      </c>
      <c r="G170" t="s">
        <v>611</v>
      </c>
      <c r="H170" t="s">
        <v>612</v>
      </c>
    </row>
    <row r="171" spans="1:8" x14ac:dyDescent="0.2">
      <c r="A171" t="s">
        <v>1328</v>
      </c>
      <c r="B171" t="s">
        <v>1103</v>
      </c>
      <c r="C171" t="s">
        <v>1328</v>
      </c>
      <c r="D171" t="b">
        <v>1</v>
      </c>
      <c r="E171" t="s">
        <v>725</v>
      </c>
      <c r="F171" s="111" t="s">
        <v>734</v>
      </c>
      <c r="G171" t="s">
        <v>611</v>
      </c>
      <c r="H171" t="s">
        <v>612</v>
      </c>
    </row>
    <row r="172" spans="1:8" x14ac:dyDescent="0.2">
      <c r="A172" t="s">
        <v>1329</v>
      </c>
      <c r="B172" t="s">
        <v>1104</v>
      </c>
      <c r="C172" t="s">
        <v>1329</v>
      </c>
      <c r="D172" t="b">
        <v>1</v>
      </c>
      <c r="E172" t="s">
        <v>725</v>
      </c>
      <c r="F172" s="111" t="s">
        <v>734</v>
      </c>
      <c r="G172" t="s">
        <v>611</v>
      </c>
      <c r="H172" t="s">
        <v>612</v>
      </c>
    </row>
    <row r="173" spans="1:8" x14ac:dyDescent="0.2">
      <c r="A173" t="s">
        <v>1330</v>
      </c>
      <c r="B173" t="s">
        <v>1105</v>
      </c>
      <c r="C173" t="s">
        <v>1330</v>
      </c>
      <c r="D173" t="b">
        <v>1</v>
      </c>
      <c r="E173" t="s">
        <v>725</v>
      </c>
      <c r="F173" s="111" t="s">
        <v>734</v>
      </c>
      <c r="G173" t="s">
        <v>611</v>
      </c>
      <c r="H173" t="s">
        <v>612</v>
      </c>
    </row>
    <row r="174" spans="1:8" x14ac:dyDescent="0.2">
      <c r="A174" t="s">
        <v>1331</v>
      </c>
      <c r="B174" t="s">
        <v>1106</v>
      </c>
      <c r="C174" t="s">
        <v>1331</v>
      </c>
      <c r="D174" t="b">
        <v>1</v>
      </c>
      <c r="E174" t="s">
        <v>725</v>
      </c>
      <c r="F174" s="111" t="s">
        <v>734</v>
      </c>
      <c r="G174" t="s">
        <v>611</v>
      </c>
      <c r="H174" t="s">
        <v>612</v>
      </c>
    </row>
    <row r="175" spans="1:8" x14ac:dyDescent="0.2">
      <c r="A175" t="s">
        <v>1328</v>
      </c>
      <c r="B175" t="s">
        <v>1107</v>
      </c>
      <c r="C175" t="s">
        <v>1328</v>
      </c>
      <c r="D175" t="b">
        <v>1</v>
      </c>
      <c r="E175" t="s">
        <v>725</v>
      </c>
      <c r="F175" s="111" t="s">
        <v>734</v>
      </c>
      <c r="G175" t="s">
        <v>611</v>
      </c>
      <c r="H175" t="s">
        <v>612</v>
      </c>
    </row>
    <row r="176" spans="1:8" x14ac:dyDescent="0.2">
      <c r="A176" t="s">
        <v>1329</v>
      </c>
      <c r="B176" t="s">
        <v>1108</v>
      </c>
      <c r="C176" t="s">
        <v>1329</v>
      </c>
      <c r="D176" t="b">
        <v>1</v>
      </c>
      <c r="E176" t="s">
        <v>725</v>
      </c>
      <c r="F176" s="111" t="s">
        <v>734</v>
      </c>
      <c r="G176" t="s">
        <v>611</v>
      </c>
      <c r="H176" t="s">
        <v>612</v>
      </c>
    </row>
    <row r="177" spans="1:8" x14ac:dyDescent="0.2">
      <c r="A177" t="s">
        <v>1330</v>
      </c>
      <c r="B177" t="s">
        <v>1109</v>
      </c>
      <c r="C177" t="s">
        <v>1330</v>
      </c>
      <c r="D177" t="b">
        <v>1</v>
      </c>
      <c r="E177" t="s">
        <v>725</v>
      </c>
      <c r="F177" s="111" t="s">
        <v>734</v>
      </c>
      <c r="G177" t="s">
        <v>611</v>
      </c>
      <c r="H177" t="s">
        <v>612</v>
      </c>
    </row>
    <row r="178" spans="1:8" x14ac:dyDescent="0.2">
      <c r="A178" t="s">
        <v>1331</v>
      </c>
      <c r="B178" t="s">
        <v>1110</v>
      </c>
      <c r="C178" t="s">
        <v>1331</v>
      </c>
      <c r="D178" t="b">
        <v>1</v>
      </c>
      <c r="E178" t="s">
        <v>725</v>
      </c>
      <c r="F178" s="111" t="s">
        <v>734</v>
      </c>
      <c r="G178" t="s">
        <v>611</v>
      </c>
      <c r="H178" t="s">
        <v>612</v>
      </c>
    </row>
    <row r="179" spans="1:8" x14ac:dyDescent="0.2">
      <c r="A179" t="s">
        <v>1312</v>
      </c>
      <c r="B179" t="s">
        <v>1111</v>
      </c>
      <c r="C179" t="s">
        <v>1312</v>
      </c>
      <c r="D179" t="b">
        <v>1</v>
      </c>
      <c r="E179" t="s">
        <v>725</v>
      </c>
      <c r="F179" t="s">
        <v>747</v>
      </c>
      <c r="G179" t="s">
        <v>611</v>
      </c>
      <c r="H179" t="s">
        <v>612</v>
      </c>
    </row>
    <row r="180" spans="1:8" x14ac:dyDescent="0.2">
      <c r="A180" t="s">
        <v>1332</v>
      </c>
      <c r="B180" t="s">
        <v>1112</v>
      </c>
      <c r="C180" t="s">
        <v>1332</v>
      </c>
      <c r="D180" t="b">
        <v>1</v>
      </c>
      <c r="E180" t="s">
        <v>725</v>
      </c>
      <c r="F180" t="s">
        <v>747</v>
      </c>
      <c r="G180" t="s">
        <v>611</v>
      </c>
      <c r="H180" t="s">
        <v>612</v>
      </c>
    </row>
    <row r="181" spans="1:8" x14ac:dyDescent="0.2">
      <c r="A181" t="s">
        <v>1314</v>
      </c>
      <c r="B181" t="s">
        <v>1113</v>
      </c>
      <c r="C181" t="s">
        <v>1314</v>
      </c>
      <c r="D181" t="b">
        <v>1</v>
      </c>
      <c r="E181" t="s">
        <v>725</v>
      </c>
      <c r="F181" t="s">
        <v>747</v>
      </c>
      <c r="G181" t="s">
        <v>611</v>
      </c>
      <c r="H181" t="s">
        <v>612</v>
      </c>
    </row>
    <row r="182" spans="1:8" x14ac:dyDescent="0.2">
      <c r="A182" t="s">
        <v>1315</v>
      </c>
      <c r="B182" t="s">
        <v>1114</v>
      </c>
      <c r="C182" t="s">
        <v>1315</v>
      </c>
      <c r="D182" t="b">
        <v>1</v>
      </c>
      <c r="E182" t="s">
        <v>725</v>
      </c>
      <c r="F182" t="s">
        <v>747</v>
      </c>
      <c r="G182" t="s">
        <v>611</v>
      </c>
      <c r="H182" t="s">
        <v>612</v>
      </c>
    </row>
    <row r="183" spans="1:8" x14ac:dyDescent="0.2">
      <c r="A183" t="s">
        <v>1316</v>
      </c>
      <c r="B183" t="s">
        <v>1115</v>
      </c>
      <c r="C183" t="s">
        <v>1316</v>
      </c>
      <c r="D183" t="b">
        <v>1</v>
      </c>
      <c r="E183" t="s">
        <v>725</v>
      </c>
      <c r="F183" t="s">
        <v>747</v>
      </c>
      <c r="G183" t="s">
        <v>611</v>
      </c>
      <c r="H183" t="s">
        <v>612</v>
      </c>
    </row>
    <row r="184" spans="1:8" x14ac:dyDescent="0.2">
      <c r="A184" t="s">
        <v>1317</v>
      </c>
      <c r="B184" t="s">
        <v>1116</v>
      </c>
      <c r="C184" t="s">
        <v>1317</v>
      </c>
      <c r="D184" t="b">
        <v>1</v>
      </c>
      <c r="E184" t="s">
        <v>725</v>
      </c>
      <c r="F184" t="s">
        <v>747</v>
      </c>
      <c r="G184" t="s">
        <v>611</v>
      </c>
      <c r="H184" t="s">
        <v>612</v>
      </c>
    </row>
    <row r="185" spans="1:8" x14ac:dyDescent="0.2">
      <c r="A185" t="s">
        <v>1318</v>
      </c>
      <c r="B185" t="s">
        <v>1117</v>
      </c>
      <c r="C185" t="s">
        <v>1318</v>
      </c>
      <c r="D185" t="b">
        <v>1</v>
      </c>
      <c r="E185" t="s">
        <v>725</v>
      </c>
      <c r="F185" t="s">
        <v>747</v>
      </c>
      <c r="G185" t="s">
        <v>611</v>
      </c>
      <c r="H185" t="s">
        <v>612</v>
      </c>
    </row>
    <row r="186" spans="1:8" x14ac:dyDescent="0.2">
      <c r="A186" t="s">
        <v>1319</v>
      </c>
      <c r="B186" t="s">
        <v>1118</v>
      </c>
      <c r="C186" t="s">
        <v>1319</v>
      </c>
      <c r="D186" t="b">
        <v>1</v>
      </c>
      <c r="E186" t="s">
        <v>725</v>
      </c>
      <c r="F186" t="s">
        <v>747</v>
      </c>
      <c r="G186" t="s">
        <v>611</v>
      </c>
      <c r="H186" t="s">
        <v>612</v>
      </c>
    </row>
    <row r="187" spans="1:8" x14ac:dyDescent="0.2">
      <c r="A187" t="s">
        <v>1328</v>
      </c>
      <c r="B187" t="s">
        <v>1119</v>
      </c>
      <c r="C187" t="s">
        <v>1328</v>
      </c>
      <c r="D187" t="b">
        <v>1</v>
      </c>
      <c r="E187" t="s">
        <v>725</v>
      </c>
      <c r="F187" s="111" t="s">
        <v>734</v>
      </c>
      <c r="G187" t="s">
        <v>611</v>
      </c>
      <c r="H187" t="s">
        <v>612</v>
      </c>
    </row>
    <row r="188" spans="1:8" x14ac:dyDescent="0.2">
      <c r="A188" t="s">
        <v>1329</v>
      </c>
      <c r="B188" t="s">
        <v>1120</v>
      </c>
      <c r="C188" t="s">
        <v>1329</v>
      </c>
      <c r="D188" t="b">
        <v>1</v>
      </c>
      <c r="E188" t="s">
        <v>725</v>
      </c>
      <c r="F188" s="111" t="s">
        <v>734</v>
      </c>
      <c r="G188" t="s">
        <v>611</v>
      </c>
      <c r="H188" t="s">
        <v>612</v>
      </c>
    </row>
    <row r="189" spans="1:8" x14ac:dyDescent="0.2">
      <c r="A189" t="s">
        <v>1330</v>
      </c>
      <c r="B189" t="s">
        <v>1121</v>
      </c>
      <c r="C189" t="s">
        <v>1330</v>
      </c>
      <c r="D189" t="b">
        <v>1</v>
      </c>
      <c r="E189" t="s">
        <v>725</v>
      </c>
      <c r="F189" s="111" t="s">
        <v>734</v>
      </c>
      <c r="G189" t="s">
        <v>611</v>
      </c>
      <c r="H189" t="s">
        <v>612</v>
      </c>
    </row>
    <row r="190" spans="1:8" x14ac:dyDescent="0.2">
      <c r="A190" t="s">
        <v>1329</v>
      </c>
      <c r="B190" t="s">
        <v>1122</v>
      </c>
      <c r="C190" t="s">
        <v>1329</v>
      </c>
      <c r="D190" t="b">
        <v>1</v>
      </c>
      <c r="E190" t="s">
        <v>725</v>
      </c>
      <c r="F190" s="111" t="s">
        <v>734</v>
      </c>
      <c r="G190" t="s">
        <v>611</v>
      </c>
      <c r="H190" t="s">
        <v>612</v>
      </c>
    </row>
    <row r="191" spans="1:8" x14ac:dyDescent="0.2">
      <c r="A191" t="s">
        <v>1333</v>
      </c>
      <c r="B191" t="s">
        <v>1123</v>
      </c>
      <c r="C191" t="s">
        <v>1333</v>
      </c>
      <c r="D191" t="b">
        <v>1</v>
      </c>
      <c r="E191" t="s">
        <v>725</v>
      </c>
      <c r="F191" t="s">
        <v>747</v>
      </c>
      <c r="G191" t="s">
        <v>611</v>
      </c>
      <c r="H191" t="s">
        <v>612</v>
      </c>
    </row>
    <row r="192" spans="1:8" x14ac:dyDescent="0.2">
      <c r="A192" t="s">
        <v>1334</v>
      </c>
      <c r="B192" t="s">
        <v>1124</v>
      </c>
      <c r="C192" t="s">
        <v>1334</v>
      </c>
      <c r="D192" t="b">
        <v>1</v>
      </c>
      <c r="E192" t="s">
        <v>725</v>
      </c>
      <c r="F192" t="s">
        <v>747</v>
      </c>
      <c r="G192" t="s">
        <v>611</v>
      </c>
      <c r="H192" t="s">
        <v>612</v>
      </c>
    </row>
    <row r="193" spans="1:8" x14ac:dyDescent="0.2">
      <c r="A193" t="s">
        <v>1335</v>
      </c>
      <c r="B193" t="s">
        <v>1125</v>
      </c>
      <c r="C193" t="s">
        <v>1335</v>
      </c>
      <c r="D193" t="b">
        <v>1</v>
      </c>
      <c r="E193" t="s">
        <v>725</v>
      </c>
      <c r="F193" t="s">
        <v>747</v>
      </c>
      <c r="G193" t="s">
        <v>611</v>
      </c>
      <c r="H193" t="s">
        <v>612</v>
      </c>
    </row>
    <row r="194" spans="1:8" x14ac:dyDescent="0.2">
      <c r="A194" t="s">
        <v>1336</v>
      </c>
      <c r="B194" t="s">
        <v>1126</v>
      </c>
      <c r="C194" t="s">
        <v>1336</v>
      </c>
      <c r="D194" t="b">
        <v>1</v>
      </c>
      <c r="E194" t="s">
        <v>725</v>
      </c>
      <c r="F194" t="s">
        <v>747</v>
      </c>
      <c r="G194" t="s">
        <v>611</v>
      </c>
      <c r="H194" t="s">
        <v>612</v>
      </c>
    </row>
    <row r="195" spans="1:8" x14ac:dyDescent="0.2">
      <c r="A195" t="s">
        <v>1337</v>
      </c>
      <c r="B195" t="s">
        <v>1127</v>
      </c>
      <c r="C195" t="s">
        <v>1337</v>
      </c>
      <c r="D195" t="b">
        <v>1</v>
      </c>
      <c r="E195" t="s">
        <v>725</v>
      </c>
      <c r="F195" t="s">
        <v>747</v>
      </c>
      <c r="G195" t="s">
        <v>611</v>
      </c>
      <c r="H195" t="s">
        <v>612</v>
      </c>
    </row>
    <row r="196" spans="1:8" x14ac:dyDescent="0.2">
      <c r="A196" t="s">
        <v>1338</v>
      </c>
      <c r="B196" t="s">
        <v>1128</v>
      </c>
      <c r="C196" t="s">
        <v>1338</v>
      </c>
      <c r="D196" t="b">
        <v>1</v>
      </c>
      <c r="E196" t="s">
        <v>725</v>
      </c>
      <c r="F196" t="s">
        <v>747</v>
      </c>
      <c r="G196" t="s">
        <v>611</v>
      </c>
      <c r="H196" t="s">
        <v>612</v>
      </c>
    </row>
    <row r="197" spans="1:8" x14ac:dyDescent="0.2">
      <c r="A197" t="s">
        <v>1339</v>
      </c>
      <c r="B197" t="s">
        <v>1129</v>
      </c>
      <c r="C197" t="s">
        <v>1339</v>
      </c>
      <c r="D197" t="b">
        <v>1</v>
      </c>
      <c r="E197" t="s">
        <v>725</v>
      </c>
      <c r="F197" t="s">
        <v>747</v>
      </c>
      <c r="G197" t="s">
        <v>611</v>
      </c>
      <c r="H197" t="s">
        <v>612</v>
      </c>
    </row>
    <row r="198" spans="1:8" x14ac:dyDescent="0.2">
      <c r="A198" t="s">
        <v>1340</v>
      </c>
      <c r="B198" t="s">
        <v>1130</v>
      </c>
      <c r="C198" t="s">
        <v>1340</v>
      </c>
      <c r="D198" t="b">
        <v>1</v>
      </c>
      <c r="E198" t="s">
        <v>725</v>
      </c>
      <c r="F198" t="s">
        <v>747</v>
      </c>
      <c r="G198" t="s">
        <v>611</v>
      </c>
      <c r="H198" t="s">
        <v>612</v>
      </c>
    </row>
    <row r="199" spans="1:8" x14ac:dyDescent="0.2">
      <c r="A199" t="s">
        <v>1341</v>
      </c>
      <c r="B199" t="s">
        <v>1131</v>
      </c>
      <c r="C199" t="s">
        <v>1341</v>
      </c>
      <c r="D199" t="b">
        <v>1</v>
      </c>
      <c r="E199" t="s">
        <v>725</v>
      </c>
      <c r="F199" t="s">
        <v>747</v>
      </c>
      <c r="G199" t="s">
        <v>611</v>
      </c>
      <c r="H199" t="s">
        <v>612</v>
      </c>
    </row>
    <row r="200" spans="1:8" x14ac:dyDescent="0.2">
      <c r="A200" t="s">
        <v>1342</v>
      </c>
      <c r="B200" t="s">
        <v>1132</v>
      </c>
      <c r="C200" t="s">
        <v>1342</v>
      </c>
      <c r="D200" t="b">
        <v>1</v>
      </c>
      <c r="E200" t="s">
        <v>725</v>
      </c>
      <c r="F200" t="s">
        <v>747</v>
      </c>
      <c r="G200" t="s">
        <v>611</v>
      </c>
      <c r="H200" t="s">
        <v>612</v>
      </c>
    </row>
    <row r="201" spans="1:8" x14ac:dyDescent="0.2">
      <c r="A201" t="s">
        <v>1343</v>
      </c>
      <c r="B201" t="s">
        <v>1133</v>
      </c>
      <c r="C201" t="s">
        <v>1343</v>
      </c>
      <c r="D201" t="b">
        <v>1</v>
      </c>
      <c r="E201" t="s">
        <v>725</v>
      </c>
      <c r="F201" t="s">
        <v>747</v>
      </c>
      <c r="G201" t="s">
        <v>611</v>
      </c>
      <c r="H201" t="s">
        <v>612</v>
      </c>
    </row>
    <row r="202" spans="1:8" x14ac:dyDescent="0.2">
      <c r="A202" t="s">
        <v>1344</v>
      </c>
      <c r="B202" t="s">
        <v>1134</v>
      </c>
      <c r="C202" t="s">
        <v>1344</v>
      </c>
      <c r="D202" t="b">
        <v>1</v>
      </c>
      <c r="E202" t="s">
        <v>725</v>
      </c>
      <c r="F202" t="s">
        <v>747</v>
      </c>
      <c r="G202" t="s">
        <v>611</v>
      </c>
      <c r="H202" t="s">
        <v>612</v>
      </c>
    </row>
    <row r="203" spans="1:8" x14ac:dyDescent="0.2">
      <c r="A203" t="s">
        <v>90</v>
      </c>
      <c r="B203" t="s">
        <v>1135</v>
      </c>
      <c r="C203" t="s">
        <v>90</v>
      </c>
      <c r="D203" t="b">
        <v>1</v>
      </c>
      <c r="E203" t="s">
        <v>725</v>
      </c>
      <c r="F203" s="111" t="s">
        <v>726</v>
      </c>
      <c r="G203" s="111" t="s">
        <v>1198</v>
      </c>
      <c r="H203" t="s">
        <v>612</v>
      </c>
    </row>
    <row r="204" spans="1:8" x14ac:dyDescent="0.2">
      <c r="A204" t="s">
        <v>1345</v>
      </c>
      <c r="B204" t="s">
        <v>1136</v>
      </c>
      <c r="C204" t="s">
        <v>1345</v>
      </c>
      <c r="D204" t="b">
        <v>1</v>
      </c>
      <c r="E204" t="s">
        <v>725</v>
      </c>
      <c r="F204" t="s">
        <v>747</v>
      </c>
      <c r="G204" t="s">
        <v>611</v>
      </c>
      <c r="H204" t="s">
        <v>612</v>
      </c>
    </row>
    <row r="205" spans="1:8" x14ac:dyDescent="0.2">
      <c r="A205" t="s">
        <v>1346</v>
      </c>
      <c r="B205" t="s">
        <v>1137</v>
      </c>
      <c r="C205" t="s">
        <v>1346</v>
      </c>
      <c r="D205" t="b">
        <v>1</v>
      </c>
      <c r="E205" t="s">
        <v>725</v>
      </c>
      <c r="F205" t="s">
        <v>747</v>
      </c>
      <c r="G205" t="s">
        <v>611</v>
      </c>
      <c r="H205" t="s">
        <v>612</v>
      </c>
    </row>
    <row r="206" spans="1:8" x14ac:dyDescent="0.2">
      <c r="A206" t="s">
        <v>1347</v>
      </c>
      <c r="B206" t="s">
        <v>1138</v>
      </c>
      <c r="C206" t="s">
        <v>1347</v>
      </c>
      <c r="D206" t="b">
        <v>1</v>
      </c>
      <c r="E206" t="s">
        <v>725</v>
      </c>
      <c r="F206" s="111" t="s">
        <v>726</v>
      </c>
      <c r="G206" s="111" t="s">
        <v>760</v>
      </c>
      <c r="H206" t="s">
        <v>612</v>
      </c>
    </row>
    <row r="207" spans="1:8" x14ac:dyDescent="0.2">
      <c r="A207" t="s">
        <v>1348</v>
      </c>
      <c r="B207" t="s">
        <v>1139</v>
      </c>
      <c r="C207" t="s">
        <v>1348</v>
      </c>
      <c r="D207" t="b">
        <v>1</v>
      </c>
      <c r="E207" t="s">
        <v>725</v>
      </c>
      <c r="F207" s="111" t="s">
        <v>726</v>
      </c>
      <c r="G207" s="111" t="s">
        <v>760</v>
      </c>
      <c r="H207" t="s">
        <v>612</v>
      </c>
    </row>
    <row r="208" spans="1:8" x14ac:dyDescent="0.2">
      <c r="A208" t="s">
        <v>1144</v>
      </c>
      <c r="B208" t="s">
        <v>1140</v>
      </c>
      <c r="C208" t="s">
        <v>1144</v>
      </c>
      <c r="D208" t="b">
        <v>1</v>
      </c>
      <c r="E208" t="s">
        <v>725</v>
      </c>
      <c r="F208" s="111" t="s">
        <v>726</v>
      </c>
      <c r="G208" s="111" t="s">
        <v>760</v>
      </c>
      <c r="H208" t="s">
        <v>612</v>
      </c>
    </row>
    <row r="209" spans="1:8" x14ac:dyDescent="0.2">
      <c r="A209" t="s">
        <v>1349</v>
      </c>
      <c r="B209" t="s">
        <v>1141</v>
      </c>
      <c r="C209" t="s">
        <v>1349</v>
      </c>
      <c r="D209" t="b">
        <v>1</v>
      </c>
      <c r="E209" t="s">
        <v>725</v>
      </c>
      <c r="F209" t="s">
        <v>747</v>
      </c>
      <c r="G209" t="s">
        <v>611</v>
      </c>
      <c r="H209" t="s">
        <v>612</v>
      </c>
    </row>
    <row r="210" spans="1:8" x14ac:dyDescent="0.2">
      <c r="A210" t="s">
        <v>1350</v>
      </c>
      <c r="B210" t="s">
        <v>1142</v>
      </c>
      <c r="C210" t="s">
        <v>1350</v>
      </c>
      <c r="D210" t="b">
        <v>1</v>
      </c>
      <c r="E210" t="s">
        <v>725</v>
      </c>
      <c r="F210" t="s">
        <v>747</v>
      </c>
      <c r="G210" t="s">
        <v>611</v>
      </c>
      <c r="H210" t="s">
        <v>612</v>
      </c>
    </row>
    <row r="211" spans="1:8" x14ac:dyDescent="0.2">
      <c r="A211" t="s">
        <v>1351</v>
      </c>
      <c r="B211" t="s">
        <v>1143</v>
      </c>
      <c r="C211" t="s">
        <v>1351</v>
      </c>
      <c r="D211" t="b">
        <v>1</v>
      </c>
      <c r="E211" t="s">
        <v>725</v>
      </c>
      <c r="F211" t="s">
        <v>747</v>
      </c>
      <c r="G211" t="s">
        <v>611</v>
      </c>
      <c r="H211" t="s">
        <v>612</v>
      </c>
    </row>
    <row r="212" spans="1:8" x14ac:dyDescent="0.2">
      <c r="A212" t="s">
        <v>1352</v>
      </c>
      <c r="B212" t="s">
        <v>1145</v>
      </c>
      <c r="C212" t="s">
        <v>1352</v>
      </c>
      <c r="D212" t="b">
        <v>1</v>
      </c>
      <c r="E212" t="s">
        <v>725</v>
      </c>
      <c r="F212" t="s">
        <v>747</v>
      </c>
      <c r="G212" t="s">
        <v>611</v>
      </c>
      <c r="H212" t="s">
        <v>612</v>
      </c>
    </row>
    <row r="213" spans="1:8" x14ac:dyDescent="0.2">
      <c r="A213" t="s">
        <v>1353</v>
      </c>
      <c r="B213" t="s">
        <v>1146</v>
      </c>
      <c r="C213" t="s">
        <v>1353</v>
      </c>
      <c r="D213" t="b">
        <v>1</v>
      </c>
      <c r="E213" t="s">
        <v>725</v>
      </c>
      <c r="F213" t="s">
        <v>747</v>
      </c>
      <c r="G213" t="s">
        <v>611</v>
      </c>
      <c r="H213" t="s">
        <v>612</v>
      </c>
    </row>
    <row r="214" spans="1:8" x14ac:dyDescent="0.2">
      <c r="A214" t="s">
        <v>1354</v>
      </c>
      <c r="B214" t="s">
        <v>1147</v>
      </c>
      <c r="C214" t="s">
        <v>1354</v>
      </c>
      <c r="D214" t="b">
        <v>1</v>
      </c>
      <c r="E214" t="s">
        <v>725</v>
      </c>
      <c r="F214" t="s">
        <v>747</v>
      </c>
      <c r="G214" t="s">
        <v>611</v>
      </c>
      <c r="H214" t="s">
        <v>612</v>
      </c>
    </row>
    <row r="215" spans="1:8" x14ac:dyDescent="0.2">
      <c r="A215" t="s">
        <v>1355</v>
      </c>
      <c r="B215" t="s">
        <v>1148</v>
      </c>
      <c r="C215" t="s">
        <v>1355</v>
      </c>
      <c r="D215" t="b">
        <v>1</v>
      </c>
      <c r="E215" t="s">
        <v>725</v>
      </c>
      <c r="F215" t="s">
        <v>747</v>
      </c>
      <c r="G215" t="s">
        <v>611</v>
      </c>
      <c r="H215" t="s">
        <v>612</v>
      </c>
    </row>
    <row r="216" spans="1:8" x14ac:dyDescent="0.2">
      <c r="A216" t="s">
        <v>1356</v>
      </c>
      <c r="B216" t="s">
        <v>1149</v>
      </c>
      <c r="C216" t="s">
        <v>1356</v>
      </c>
      <c r="D216" t="b">
        <v>1</v>
      </c>
      <c r="E216" t="s">
        <v>725</v>
      </c>
      <c r="F216" t="s">
        <v>747</v>
      </c>
      <c r="G216" t="s">
        <v>611</v>
      </c>
      <c r="H216" t="s">
        <v>612</v>
      </c>
    </row>
    <row r="217" spans="1:8" x14ac:dyDescent="0.2">
      <c r="A217" t="s">
        <v>1357</v>
      </c>
      <c r="B217" t="s">
        <v>1150</v>
      </c>
      <c r="C217" t="s">
        <v>1357</v>
      </c>
      <c r="D217" t="b">
        <v>1</v>
      </c>
      <c r="E217" t="s">
        <v>725</v>
      </c>
      <c r="F217" t="s">
        <v>747</v>
      </c>
      <c r="G217" t="s">
        <v>611</v>
      </c>
      <c r="H217" t="s">
        <v>612</v>
      </c>
    </row>
    <row r="218" spans="1:8" x14ac:dyDescent="0.2">
      <c r="A218" t="s">
        <v>1358</v>
      </c>
      <c r="B218" t="s">
        <v>1151</v>
      </c>
      <c r="C218" t="s">
        <v>1358</v>
      </c>
      <c r="D218" t="b">
        <v>1</v>
      </c>
      <c r="E218" t="s">
        <v>725</v>
      </c>
      <c r="F218" t="s">
        <v>747</v>
      </c>
      <c r="G218" t="s">
        <v>611</v>
      </c>
      <c r="H218" t="s">
        <v>612</v>
      </c>
    </row>
    <row r="219" spans="1:8" x14ac:dyDescent="0.2">
      <c r="A219" t="s">
        <v>1359</v>
      </c>
      <c r="B219" t="s">
        <v>1152</v>
      </c>
      <c r="C219" t="s">
        <v>1359</v>
      </c>
      <c r="D219" t="b">
        <v>1</v>
      </c>
      <c r="E219" t="s">
        <v>725</v>
      </c>
      <c r="F219" t="s">
        <v>747</v>
      </c>
      <c r="G219" t="s">
        <v>611</v>
      </c>
      <c r="H219" t="s">
        <v>612</v>
      </c>
    </row>
    <row r="220" spans="1:8" x14ac:dyDescent="0.2">
      <c r="A220" t="s">
        <v>1360</v>
      </c>
      <c r="B220" t="s">
        <v>1153</v>
      </c>
      <c r="C220" t="s">
        <v>1360</v>
      </c>
      <c r="D220" t="b">
        <v>1</v>
      </c>
      <c r="E220" t="s">
        <v>725</v>
      </c>
      <c r="F220" t="s">
        <v>747</v>
      </c>
      <c r="G220" t="s">
        <v>611</v>
      </c>
      <c r="H220" t="s">
        <v>612</v>
      </c>
    </row>
    <row r="221" spans="1:8" x14ac:dyDescent="0.2">
      <c r="A221" t="s">
        <v>1361</v>
      </c>
      <c r="B221" t="s">
        <v>1154</v>
      </c>
      <c r="C221" t="s">
        <v>1361</v>
      </c>
      <c r="D221" t="b">
        <v>1</v>
      </c>
      <c r="E221" t="s">
        <v>725</v>
      </c>
      <c r="F221" t="s">
        <v>747</v>
      </c>
      <c r="G221" t="s">
        <v>611</v>
      </c>
      <c r="H221" t="s">
        <v>612</v>
      </c>
    </row>
    <row r="222" spans="1:8" x14ac:dyDescent="0.2">
      <c r="A222" t="s">
        <v>1362</v>
      </c>
      <c r="B222" t="s">
        <v>1155</v>
      </c>
      <c r="C222" t="s">
        <v>1362</v>
      </c>
      <c r="D222" t="b">
        <v>1</v>
      </c>
      <c r="E222" t="s">
        <v>725</v>
      </c>
      <c r="F222" t="s">
        <v>747</v>
      </c>
      <c r="G222" t="s">
        <v>611</v>
      </c>
      <c r="H222" t="s">
        <v>612</v>
      </c>
    </row>
    <row r="223" spans="1:8" x14ac:dyDescent="0.2">
      <c r="A223" t="s">
        <v>1363</v>
      </c>
      <c r="B223" t="s">
        <v>1156</v>
      </c>
      <c r="C223" t="s">
        <v>1363</v>
      </c>
      <c r="D223" t="b">
        <v>1</v>
      </c>
      <c r="E223" t="s">
        <v>725</v>
      </c>
      <c r="F223" t="s">
        <v>747</v>
      </c>
      <c r="G223" t="s">
        <v>611</v>
      </c>
      <c r="H223" t="s">
        <v>612</v>
      </c>
    </row>
    <row r="224" spans="1:8" x14ac:dyDescent="0.2">
      <c r="A224" t="s">
        <v>1364</v>
      </c>
      <c r="B224" t="s">
        <v>1157</v>
      </c>
      <c r="C224" t="s">
        <v>1364</v>
      </c>
      <c r="D224" t="b">
        <v>1</v>
      </c>
      <c r="E224" t="s">
        <v>725</v>
      </c>
      <c r="F224" t="s">
        <v>747</v>
      </c>
      <c r="G224" t="s">
        <v>611</v>
      </c>
      <c r="H224" t="s">
        <v>612</v>
      </c>
    </row>
    <row r="225" spans="1:8" x14ac:dyDescent="0.2">
      <c r="A225" t="s">
        <v>1365</v>
      </c>
      <c r="B225" t="s">
        <v>1158</v>
      </c>
      <c r="C225" t="s">
        <v>1365</v>
      </c>
      <c r="D225" t="b">
        <v>1</v>
      </c>
      <c r="E225" t="s">
        <v>725</v>
      </c>
      <c r="F225" t="s">
        <v>747</v>
      </c>
      <c r="G225" t="s">
        <v>611</v>
      </c>
      <c r="H225" t="s">
        <v>612</v>
      </c>
    </row>
    <row r="226" spans="1:8" x14ac:dyDescent="0.2">
      <c r="A226" t="s">
        <v>1366</v>
      </c>
      <c r="B226" t="s">
        <v>1159</v>
      </c>
      <c r="C226" t="s">
        <v>1366</v>
      </c>
      <c r="D226" t="b">
        <v>1</v>
      </c>
      <c r="E226" t="s">
        <v>725</v>
      </c>
      <c r="F226" t="s">
        <v>747</v>
      </c>
      <c r="G226" t="s">
        <v>611</v>
      </c>
      <c r="H226" t="s">
        <v>612</v>
      </c>
    </row>
    <row r="227" spans="1:8" x14ac:dyDescent="0.2">
      <c r="A227" t="s">
        <v>1367</v>
      </c>
      <c r="B227" t="s">
        <v>1160</v>
      </c>
      <c r="C227" t="s">
        <v>1367</v>
      </c>
      <c r="D227" t="b">
        <v>1</v>
      </c>
      <c r="E227" t="s">
        <v>725</v>
      </c>
      <c r="F227" s="111" t="s">
        <v>726</v>
      </c>
      <c r="G227" s="111" t="s">
        <v>760</v>
      </c>
      <c r="H227" t="s">
        <v>612</v>
      </c>
    </row>
    <row r="228" spans="1:8" x14ac:dyDescent="0.2">
      <c r="A228" t="s">
        <v>1368</v>
      </c>
      <c r="B228" t="s">
        <v>1161</v>
      </c>
      <c r="C228" t="s">
        <v>1368</v>
      </c>
      <c r="D228" t="b">
        <v>1</v>
      </c>
      <c r="E228" t="s">
        <v>725</v>
      </c>
      <c r="F228" s="111" t="s">
        <v>726</v>
      </c>
      <c r="G228" s="111" t="s">
        <v>760</v>
      </c>
      <c r="H228" t="s">
        <v>612</v>
      </c>
    </row>
    <row r="229" spans="1:8" x14ac:dyDescent="0.2">
      <c r="A229" t="s">
        <v>1369</v>
      </c>
      <c r="B229" t="s">
        <v>1162</v>
      </c>
      <c r="C229" t="s">
        <v>1369</v>
      </c>
      <c r="D229" t="b">
        <v>1</v>
      </c>
      <c r="E229" t="s">
        <v>725</v>
      </c>
      <c r="F229" s="111" t="s">
        <v>726</v>
      </c>
      <c r="G229" s="111" t="s">
        <v>760</v>
      </c>
      <c r="H229" t="s">
        <v>612</v>
      </c>
    </row>
    <row r="230" spans="1:8" x14ac:dyDescent="0.2">
      <c r="A230" t="s">
        <v>1370</v>
      </c>
      <c r="B230" t="s">
        <v>1163</v>
      </c>
      <c r="C230" t="s">
        <v>1370</v>
      </c>
      <c r="D230" t="b">
        <v>1</v>
      </c>
      <c r="E230" t="s">
        <v>725</v>
      </c>
      <c r="F230" s="111" t="s">
        <v>726</v>
      </c>
      <c r="G230" s="111" t="s">
        <v>760</v>
      </c>
      <c r="H230" t="s">
        <v>612</v>
      </c>
    </row>
    <row r="231" spans="1:8" x14ac:dyDescent="0.2">
      <c r="A231" t="s">
        <v>1371</v>
      </c>
      <c r="B231" t="s">
        <v>1164</v>
      </c>
      <c r="C231" t="s">
        <v>1371</v>
      </c>
      <c r="D231" t="b">
        <v>1</v>
      </c>
      <c r="E231" t="s">
        <v>725</v>
      </c>
      <c r="F231" s="111" t="s">
        <v>726</v>
      </c>
      <c r="G231" s="111" t="s">
        <v>760</v>
      </c>
      <c r="H231" t="s">
        <v>612</v>
      </c>
    </row>
    <row r="232" spans="1:8" x14ac:dyDescent="0.2">
      <c r="A232" t="s">
        <v>1372</v>
      </c>
      <c r="B232" t="s">
        <v>1165</v>
      </c>
      <c r="C232" t="s">
        <v>1372</v>
      </c>
      <c r="D232" t="b">
        <v>1</v>
      </c>
      <c r="E232" t="s">
        <v>725</v>
      </c>
      <c r="F232" t="s">
        <v>747</v>
      </c>
      <c r="G232" t="s">
        <v>611</v>
      </c>
      <c r="H232" t="s">
        <v>612</v>
      </c>
    </row>
    <row r="233" spans="1:8" x14ac:dyDescent="0.2">
      <c r="A233" t="s">
        <v>1373</v>
      </c>
      <c r="B233" t="s">
        <v>1166</v>
      </c>
      <c r="C233" t="s">
        <v>1373</v>
      </c>
      <c r="D233" t="b">
        <v>1</v>
      </c>
      <c r="E233" t="s">
        <v>725</v>
      </c>
      <c r="F233" t="s">
        <v>747</v>
      </c>
      <c r="G233" t="s">
        <v>611</v>
      </c>
      <c r="H233" t="s">
        <v>612</v>
      </c>
    </row>
    <row r="234" spans="1:8" x14ac:dyDescent="0.2">
      <c r="A234" t="s">
        <v>1374</v>
      </c>
      <c r="B234" t="s">
        <v>1167</v>
      </c>
      <c r="C234" t="s">
        <v>1374</v>
      </c>
      <c r="D234" t="b">
        <v>1</v>
      </c>
      <c r="E234" t="s">
        <v>725</v>
      </c>
      <c r="F234" t="s">
        <v>747</v>
      </c>
      <c r="G234" t="s">
        <v>611</v>
      </c>
      <c r="H234" t="s">
        <v>612</v>
      </c>
    </row>
    <row r="235" spans="1:8" x14ac:dyDescent="0.2">
      <c r="A235" t="s">
        <v>1375</v>
      </c>
      <c r="B235" t="s">
        <v>1168</v>
      </c>
      <c r="C235" t="s">
        <v>1375</v>
      </c>
      <c r="D235" t="b">
        <v>1</v>
      </c>
      <c r="E235" t="s">
        <v>725</v>
      </c>
      <c r="F235" t="s">
        <v>747</v>
      </c>
      <c r="G235" t="s">
        <v>611</v>
      </c>
      <c r="H235" t="s">
        <v>612</v>
      </c>
    </row>
    <row r="236" spans="1:8" x14ac:dyDescent="0.2">
      <c r="A236" t="s">
        <v>1376</v>
      </c>
      <c r="B236" t="s">
        <v>1169</v>
      </c>
      <c r="C236" t="s">
        <v>1376</v>
      </c>
      <c r="D236" t="b">
        <v>1</v>
      </c>
      <c r="E236" t="s">
        <v>725</v>
      </c>
      <c r="F236" t="s">
        <v>747</v>
      </c>
      <c r="G236" t="s">
        <v>611</v>
      </c>
      <c r="H236" t="s">
        <v>612</v>
      </c>
    </row>
    <row r="237" spans="1:8" x14ac:dyDescent="0.2">
      <c r="A237" t="s">
        <v>1377</v>
      </c>
      <c r="B237" t="s">
        <v>1170</v>
      </c>
      <c r="C237" s="108" t="s">
        <v>463</v>
      </c>
      <c r="D237" t="b">
        <v>1</v>
      </c>
      <c r="E237" t="s">
        <v>725</v>
      </c>
      <c r="F237" t="s">
        <v>747</v>
      </c>
      <c r="G237" t="s">
        <v>611</v>
      </c>
      <c r="H237" t="s">
        <v>612</v>
      </c>
    </row>
    <row r="238" spans="1:8" x14ac:dyDescent="0.2">
      <c r="A238" t="s">
        <v>1378</v>
      </c>
      <c r="B238" t="s">
        <v>1171</v>
      </c>
      <c r="C238" s="108" t="s">
        <v>463</v>
      </c>
      <c r="D238" t="b">
        <v>1</v>
      </c>
      <c r="E238" t="s">
        <v>725</v>
      </c>
      <c r="F238" t="s">
        <v>747</v>
      </c>
      <c r="G238" t="s">
        <v>611</v>
      </c>
      <c r="H238" t="s">
        <v>612</v>
      </c>
    </row>
    <row r="239" spans="1:8" x14ac:dyDescent="0.2">
      <c r="A239" t="s">
        <v>1379</v>
      </c>
      <c r="B239" t="s">
        <v>1172</v>
      </c>
      <c r="C239" s="108" t="s">
        <v>463</v>
      </c>
      <c r="D239" t="b">
        <v>1</v>
      </c>
      <c r="E239" t="s">
        <v>725</v>
      </c>
      <c r="F239" t="s">
        <v>747</v>
      </c>
      <c r="G239" t="s">
        <v>611</v>
      </c>
      <c r="H239" t="s">
        <v>612</v>
      </c>
    </row>
    <row r="240" spans="1:8" x14ac:dyDescent="0.2">
      <c r="A240" t="s">
        <v>1380</v>
      </c>
      <c r="B240" t="s">
        <v>1173</v>
      </c>
      <c r="C240" s="108" t="s">
        <v>465</v>
      </c>
      <c r="D240" t="b">
        <v>1</v>
      </c>
      <c r="E240" t="s">
        <v>725</v>
      </c>
      <c r="F240" t="s">
        <v>747</v>
      </c>
      <c r="G240" t="s">
        <v>611</v>
      </c>
      <c r="H240" t="s">
        <v>612</v>
      </c>
    </row>
    <row r="241" spans="1:8" x14ac:dyDescent="0.2">
      <c r="A241" t="s">
        <v>1381</v>
      </c>
      <c r="B241" t="s">
        <v>1174</v>
      </c>
      <c r="C241" s="108" t="s">
        <v>465</v>
      </c>
      <c r="D241" t="b">
        <v>1</v>
      </c>
      <c r="E241" t="s">
        <v>725</v>
      </c>
      <c r="F241" t="s">
        <v>747</v>
      </c>
      <c r="G241" t="s">
        <v>611</v>
      </c>
      <c r="H241" t="s">
        <v>612</v>
      </c>
    </row>
    <row r="242" spans="1:8" x14ac:dyDescent="0.2">
      <c r="A242" t="s">
        <v>1382</v>
      </c>
      <c r="B242" t="s">
        <v>1175</v>
      </c>
      <c r="C242" s="108" t="s">
        <v>465</v>
      </c>
      <c r="D242" t="b">
        <v>1</v>
      </c>
      <c r="E242" t="s">
        <v>725</v>
      </c>
      <c r="F242" t="s">
        <v>747</v>
      </c>
      <c r="G242" t="s">
        <v>611</v>
      </c>
      <c r="H242" t="s">
        <v>612</v>
      </c>
    </row>
    <row r="243" spans="1:8" x14ac:dyDescent="0.2">
      <c r="A243" t="s">
        <v>1383</v>
      </c>
      <c r="B243" t="s">
        <v>1176</v>
      </c>
      <c r="C243" s="108" t="s">
        <v>193</v>
      </c>
      <c r="D243" t="b">
        <v>1</v>
      </c>
      <c r="E243" t="s">
        <v>725</v>
      </c>
      <c r="F243" t="s">
        <v>747</v>
      </c>
      <c r="G243" t="s">
        <v>611</v>
      </c>
      <c r="H243" t="s">
        <v>612</v>
      </c>
    </row>
    <row r="244" spans="1:8" x14ac:dyDescent="0.2">
      <c r="A244" t="s">
        <v>1384</v>
      </c>
      <c r="B244" t="s">
        <v>1177</v>
      </c>
      <c r="C244" s="108" t="s">
        <v>193</v>
      </c>
      <c r="D244" t="b">
        <v>1</v>
      </c>
      <c r="E244" t="s">
        <v>725</v>
      </c>
      <c r="F244" t="s">
        <v>747</v>
      </c>
      <c r="G244" t="s">
        <v>611</v>
      </c>
      <c r="H244" t="s">
        <v>612</v>
      </c>
    </row>
    <row r="245" spans="1:8" x14ac:dyDescent="0.2">
      <c r="A245" t="s">
        <v>1385</v>
      </c>
      <c r="B245" t="s">
        <v>1178</v>
      </c>
      <c r="C245" s="108" t="s">
        <v>193</v>
      </c>
      <c r="D245" t="b">
        <v>1</v>
      </c>
      <c r="E245" t="s">
        <v>725</v>
      </c>
      <c r="F245" t="s">
        <v>747</v>
      </c>
      <c r="G245" t="s">
        <v>611</v>
      </c>
      <c r="H245" t="s">
        <v>612</v>
      </c>
    </row>
    <row r="246" spans="1:8" x14ac:dyDescent="0.2">
      <c r="A246" t="s">
        <v>1386</v>
      </c>
      <c r="B246" t="s">
        <v>1179</v>
      </c>
      <c r="C246" s="108" t="s">
        <v>366</v>
      </c>
      <c r="D246" t="b">
        <v>1</v>
      </c>
      <c r="E246" t="s">
        <v>725</v>
      </c>
      <c r="F246" t="s">
        <v>747</v>
      </c>
      <c r="G246" t="s">
        <v>611</v>
      </c>
      <c r="H246" t="s">
        <v>612</v>
      </c>
    </row>
    <row r="247" spans="1:8" x14ac:dyDescent="0.2">
      <c r="A247" t="s">
        <v>1387</v>
      </c>
      <c r="B247" t="s">
        <v>1180</v>
      </c>
      <c r="C247" s="108" t="s">
        <v>366</v>
      </c>
      <c r="D247" t="b">
        <v>1</v>
      </c>
      <c r="E247" t="s">
        <v>725</v>
      </c>
      <c r="F247" t="s">
        <v>747</v>
      </c>
      <c r="G247" t="s">
        <v>611</v>
      </c>
      <c r="H247" t="s">
        <v>612</v>
      </c>
    </row>
    <row r="248" spans="1:8" x14ac:dyDescent="0.2">
      <c r="A248" t="s">
        <v>1388</v>
      </c>
      <c r="B248" t="s">
        <v>1181</v>
      </c>
      <c r="C248" s="108" t="s">
        <v>366</v>
      </c>
      <c r="D248" t="b">
        <v>1</v>
      </c>
      <c r="E248" t="s">
        <v>725</v>
      </c>
      <c r="F248" t="s">
        <v>747</v>
      </c>
      <c r="G248" t="s">
        <v>611</v>
      </c>
      <c r="H248" t="s">
        <v>612</v>
      </c>
    </row>
    <row r="249" spans="1:8" x14ac:dyDescent="0.2">
      <c r="A249" t="s">
        <v>1389</v>
      </c>
      <c r="B249" t="s">
        <v>1182</v>
      </c>
      <c r="C249" s="108" t="s">
        <v>194</v>
      </c>
      <c r="D249" t="b">
        <v>1</v>
      </c>
      <c r="E249" t="s">
        <v>725</v>
      </c>
      <c r="F249" t="s">
        <v>747</v>
      </c>
      <c r="G249" t="s">
        <v>611</v>
      </c>
      <c r="H249" t="s">
        <v>612</v>
      </c>
    </row>
    <row r="250" spans="1:8" x14ac:dyDescent="0.2">
      <c r="A250" t="s">
        <v>1390</v>
      </c>
      <c r="B250" t="s">
        <v>1183</v>
      </c>
      <c r="C250" s="108" t="s">
        <v>194</v>
      </c>
      <c r="D250" t="b">
        <v>1</v>
      </c>
      <c r="E250" t="s">
        <v>725</v>
      </c>
      <c r="F250" t="s">
        <v>747</v>
      </c>
      <c r="G250" t="s">
        <v>611</v>
      </c>
      <c r="H250" t="s">
        <v>612</v>
      </c>
    </row>
    <row r="251" spans="1:8" x14ac:dyDescent="0.2">
      <c r="A251" t="s">
        <v>1391</v>
      </c>
      <c r="B251" t="s">
        <v>1184</v>
      </c>
      <c r="C251" s="108" t="s">
        <v>195</v>
      </c>
      <c r="D251" t="b">
        <v>1</v>
      </c>
      <c r="E251" t="s">
        <v>725</v>
      </c>
      <c r="F251" t="s">
        <v>747</v>
      </c>
      <c r="G251" t="s">
        <v>611</v>
      </c>
      <c r="H251" t="s">
        <v>612</v>
      </c>
    </row>
    <row r="252" spans="1:8" x14ac:dyDescent="0.2">
      <c r="A252" t="s">
        <v>1391</v>
      </c>
      <c r="B252" t="s">
        <v>1185</v>
      </c>
      <c r="C252" s="108" t="s">
        <v>195</v>
      </c>
      <c r="D252" t="b">
        <v>1</v>
      </c>
      <c r="E252" t="s">
        <v>725</v>
      </c>
      <c r="F252" t="s">
        <v>747</v>
      </c>
      <c r="G252" t="s">
        <v>611</v>
      </c>
      <c r="H252" t="s">
        <v>612</v>
      </c>
    </row>
    <row r="253" spans="1:8" x14ac:dyDescent="0.2">
      <c r="A253" t="s">
        <v>1392</v>
      </c>
      <c r="B253" t="s">
        <v>1186</v>
      </c>
      <c r="C253" t="s">
        <v>1392</v>
      </c>
      <c r="D253" t="b">
        <v>1</v>
      </c>
      <c r="E253" t="s">
        <v>725</v>
      </c>
      <c r="F253" t="s">
        <v>747</v>
      </c>
      <c r="G253" t="s">
        <v>611</v>
      </c>
      <c r="H253" t="s">
        <v>612</v>
      </c>
    </row>
    <row r="254" spans="1:8" x14ac:dyDescent="0.2">
      <c r="A254" t="s">
        <v>1393</v>
      </c>
      <c r="B254" t="s">
        <v>1187</v>
      </c>
      <c r="C254" t="s">
        <v>1393</v>
      </c>
      <c r="D254" t="b">
        <v>1</v>
      </c>
      <c r="E254" t="s">
        <v>725</v>
      </c>
      <c r="F254" t="s">
        <v>747</v>
      </c>
      <c r="G254" t="s">
        <v>611</v>
      </c>
      <c r="H254" t="s">
        <v>612</v>
      </c>
    </row>
    <row r="255" spans="1:8" x14ac:dyDescent="0.2">
      <c r="A255" t="s">
        <v>1394</v>
      </c>
      <c r="B255" t="s">
        <v>1188</v>
      </c>
      <c r="C255" t="s">
        <v>1394</v>
      </c>
      <c r="D255" t="b">
        <v>1</v>
      </c>
      <c r="E255" t="s">
        <v>725</v>
      </c>
      <c r="F255" t="s">
        <v>747</v>
      </c>
      <c r="G255" t="s">
        <v>611</v>
      </c>
      <c r="H255" t="s">
        <v>612</v>
      </c>
    </row>
    <row r="256" spans="1:8" x14ac:dyDescent="0.2">
      <c r="A256" t="s">
        <v>1395</v>
      </c>
      <c r="B256" t="s">
        <v>1189</v>
      </c>
      <c r="C256" t="s">
        <v>1395</v>
      </c>
      <c r="D256" t="b">
        <v>1</v>
      </c>
      <c r="E256" t="s">
        <v>725</v>
      </c>
      <c r="F256" t="s">
        <v>747</v>
      </c>
      <c r="G256" t="s">
        <v>611</v>
      </c>
      <c r="H256" t="s">
        <v>612</v>
      </c>
    </row>
    <row r="257" spans="1:8" x14ac:dyDescent="0.2">
      <c r="A257" t="s">
        <v>1396</v>
      </c>
      <c r="B257" t="s">
        <v>1190</v>
      </c>
      <c r="C257" t="s">
        <v>1396</v>
      </c>
      <c r="D257" t="b">
        <v>1</v>
      </c>
      <c r="E257" t="s">
        <v>725</v>
      </c>
      <c r="F257" s="111" t="s">
        <v>726</v>
      </c>
      <c r="G257" s="111" t="s">
        <v>760</v>
      </c>
      <c r="H257" t="s">
        <v>612</v>
      </c>
    </row>
    <row r="258" spans="1:8" x14ac:dyDescent="0.2">
      <c r="A258" t="s">
        <v>1397</v>
      </c>
      <c r="B258" t="s">
        <v>1191</v>
      </c>
      <c r="C258" t="s">
        <v>1397</v>
      </c>
      <c r="D258" t="b">
        <v>1</v>
      </c>
      <c r="E258" t="s">
        <v>725</v>
      </c>
      <c r="F258" s="111" t="s">
        <v>726</v>
      </c>
      <c r="G258" s="111" t="s">
        <v>760</v>
      </c>
      <c r="H258" t="s">
        <v>612</v>
      </c>
    </row>
    <row r="259" spans="1:8" x14ac:dyDescent="0.2">
      <c r="A259" t="s">
        <v>76</v>
      </c>
      <c r="B259" t="s">
        <v>1192</v>
      </c>
      <c r="C259" t="s">
        <v>1432</v>
      </c>
      <c r="D259" t="b">
        <v>1</v>
      </c>
      <c r="E259" t="s">
        <v>725</v>
      </c>
      <c r="F259" t="s">
        <v>747</v>
      </c>
      <c r="G259" t="s">
        <v>611</v>
      </c>
      <c r="H259" t="s">
        <v>612</v>
      </c>
    </row>
    <row r="260" spans="1:8" x14ac:dyDescent="0.2">
      <c r="A260" t="s">
        <v>77</v>
      </c>
      <c r="B260" t="s">
        <v>1193</v>
      </c>
      <c r="C260" t="s">
        <v>1432</v>
      </c>
      <c r="D260" t="b">
        <v>1</v>
      </c>
      <c r="E260" t="s">
        <v>725</v>
      </c>
      <c r="F260" t="s">
        <v>747</v>
      </c>
      <c r="G260" t="s">
        <v>611</v>
      </c>
      <c r="H260" t="s">
        <v>612</v>
      </c>
    </row>
    <row r="261" spans="1:8" x14ac:dyDescent="0.2">
      <c r="A261" t="s">
        <v>75</v>
      </c>
      <c r="B261" t="s">
        <v>1194</v>
      </c>
      <c r="C261" t="s">
        <v>1432</v>
      </c>
      <c r="D261" t="b">
        <v>1</v>
      </c>
      <c r="E261" t="s">
        <v>725</v>
      </c>
      <c r="F261" t="s">
        <v>747</v>
      </c>
      <c r="G261" t="s">
        <v>611</v>
      </c>
      <c r="H261" t="s">
        <v>612</v>
      </c>
    </row>
    <row r="262" spans="1:8" x14ac:dyDescent="0.2">
      <c r="A262" t="s">
        <v>74</v>
      </c>
      <c r="B262" t="s">
        <v>1195</v>
      </c>
      <c r="C262" t="s">
        <v>1432</v>
      </c>
      <c r="D262" t="b">
        <v>1</v>
      </c>
      <c r="E262" t="s">
        <v>725</v>
      </c>
      <c r="F262" t="s">
        <v>747</v>
      </c>
      <c r="G262" t="s">
        <v>611</v>
      </c>
      <c r="H262" t="s">
        <v>612</v>
      </c>
    </row>
    <row r="263" spans="1:8" x14ac:dyDescent="0.2">
      <c r="A263" t="s">
        <v>204</v>
      </c>
      <c r="B263" t="s">
        <v>1196</v>
      </c>
      <c r="C263" t="s">
        <v>1432</v>
      </c>
      <c r="D263" t="b">
        <v>1</v>
      </c>
      <c r="E263" t="s">
        <v>725</v>
      </c>
      <c r="F263" t="s">
        <v>747</v>
      </c>
      <c r="G263" t="s">
        <v>611</v>
      </c>
      <c r="H263" t="s">
        <v>612</v>
      </c>
    </row>
    <row r="264" spans="1:8" x14ac:dyDescent="0.2">
      <c r="A264" t="s">
        <v>90</v>
      </c>
      <c r="B264" t="s">
        <v>1197</v>
      </c>
      <c r="C264" t="s">
        <v>1432</v>
      </c>
      <c r="D264" t="b">
        <v>1</v>
      </c>
      <c r="E264" t="s">
        <v>725</v>
      </c>
      <c r="F264" s="111" t="s">
        <v>726</v>
      </c>
      <c r="G264" s="111" t="s">
        <v>1198</v>
      </c>
      <c r="H264" t="s">
        <v>612</v>
      </c>
    </row>
    <row r="265" spans="1:8" x14ac:dyDescent="0.2">
      <c r="A265" t="s">
        <v>1398</v>
      </c>
      <c r="B265" t="s">
        <v>1199</v>
      </c>
      <c r="C265" t="s">
        <v>1432</v>
      </c>
      <c r="D265" t="b">
        <v>1</v>
      </c>
      <c r="E265" t="s">
        <v>725</v>
      </c>
      <c r="F265" s="111" t="s">
        <v>726</v>
      </c>
      <c r="G265" s="111" t="s">
        <v>760</v>
      </c>
      <c r="H265" t="s">
        <v>612</v>
      </c>
    </row>
    <row r="266" spans="1:8" x14ac:dyDescent="0.2">
      <c r="A266" t="s">
        <v>1399</v>
      </c>
      <c r="B266" t="s">
        <v>1200</v>
      </c>
      <c r="C266" t="s">
        <v>1432</v>
      </c>
      <c r="D266" t="b">
        <v>1</v>
      </c>
      <c r="E266" t="s">
        <v>725</v>
      </c>
      <c r="F266" t="s">
        <v>747</v>
      </c>
      <c r="G266" t="s">
        <v>611</v>
      </c>
      <c r="H266" t="s">
        <v>612</v>
      </c>
    </row>
    <row r="267" spans="1:8" x14ac:dyDescent="0.2">
      <c r="A267" t="s">
        <v>1400</v>
      </c>
      <c r="B267" t="s">
        <v>1201</v>
      </c>
      <c r="C267" t="s">
        <v>1432</v>
      </c>
      <c r="D267" t="b">
        <v>1</v>
      </c>
      <c r="E267" t="s">
        <v>725</v>
      </c>
      <c r="F267" t="s">
        <v>747</v>
      </c>
      <c r="G267" t="s">
        <v>611</v>
      </c>
      <c r="H267" t="s">
        <v>612</v>
      </c>
    </row>
    <row r="268" spans="1:8" x14ac:dyDescent="0.2">
      <c r="A268" t="s">
        <v>1401</v>
      </c>
      <c r="B268" t="s">
        <v>1202</v>
      </c>
      <c r="C268" t="s">
        <v>1432</v>
      </c>
      <c r="D268" t="b">
        <v>1</v>
      </c>
      <c r="E268" t="s">
        <v>725</v>
      </c>
      <c r="F268" t="s">
        <v>747</v>
      </c>
      <c r="G268" t="s">
        <v>611</v>
      </c>
      <c r="H268" t="s">
        <v>612</v>
      </c>
    </row>
    <row r="269" spans="1:8" x14ac:dyDescent="0.2">
      <c r="A269" t="s">
        <v>1402</v>
      </c>
      <c r="B269" t="s">
        <v>1203</v>
      </c>
      <c r="C269" t="s">
        <v>1429</v>
      </c>
      <c r="D269" t="b">
        <v>1</v>
      </c>
      <c r="E269" t="s">
        <v>725</v>
      </c>
      <c r="F269" t="s">
        <v>747</v>
      </c>
      <c r="G269" t="s">
        <v>611</v>
      </c>
      <c r="H269" t="s">
        <v>612</v>
      </c>
    </row>
    <row r="270" spans="1:8" x14ac:dyDescent="0.2">
      <c r="A270" t="s">
        <v>1403</v>
      </c>
      <c r="B270" t="s">
        <v>1204</v>
      </c>
      <c r="C270" t="s">
        <v>1429</v>
      </c>
      <c r="D270" t="b">
        <v>1</v>
      </c>
      <c r="E270" t="s">
        <v>725</v>
      </c>
      <c r="F270" t="s">
        <v>747</v>
      </c>
      <c r="G270" t="s">
        <v>611</v>
      </c>
      <c r="H270" t="s">
        <v>612</v>
      </c>
    </row>
    <row r="271" spans="1:8" x14ac:dyDescent="0.2">
      <c r="A271" t="s">
        <v>1404</v>
      </c>
      <c r="B271" t="s">
        <v>1205</v>
      </c>
      <c r="C271" t="s">
        <v>1429</v>
      </c>
      <c r="D271" t="b">
        <v>1</v>
      </c>
      <c r="E271" t="s">
        <v>725</v>
      </c>
      <c r="F271" t="s">
        <v>747</v>
      </c>
      <c r="G271" t="s">
        <v>611</v>
      </c>
      <c r="H271" t="s">
        <v>612</v>
      </c>
    </row>
    <row r="272" spans="1:8" x14ac:dyDescent="0.2">
      <c r="A272" t="s">
        <v>1405</v>
      </c>
      <c r="B272" t="s">
        <v>1206</v>
      </c>
      <c r="C272" t="s">
        <v>1430</v>
      </c>
      <c r="D272" t="b">
        <v>1</v>
      </c>
      <c r="E272" t="s">
        <v>725</v>
      </c>
      <c r="F272" t="s">
        <v>747</v>
      </c>
      <c r="G272" t="s">
        <v>611</v>
      </c>
      <c r="H272" t="s">
        <v>612</v>
      </c>
    </row>
    <row r="273" spans="1:8" x14ac:dyDescent="0.2">
      <c r="A273" t="s">
        <v>1406</v>
      </c>
      <c r="B273" t="s">
        <v>1207</v>
      </c>
      <c r="C273" t="s">
        <v>1430</v>
      </c>
      <c r="D273" t="b">
        <v>1</v>
      </c>
      <c r="E273" t="s">
        <v>725</v>
      </c>
      <c r="F273" t="s">
        <v>747</v>
      </c>
      <c r="G273" t="s">
        <v>611</v>
      </c>
      <c r="H273" t="s">
        <v>612</v>
      </c>
    </row>
    <row r="274" spans="1:8" x14ac:dyDescent="0.2">
      <c r="A274" t="s">
        <v>1407</v>
      </c>
      <c r="B274" t="s">
        <v>1208</v>
      </c>
      <c r="C274" t="s">
        <v>1430</v>
      </c>
      <c r="D274" t="b">
        <v>1</v>
      </c>
      <c r="E274" t="s">
        <v>725</v>
      </c>
      <c r="F274" t="s">
        <v>747</v>
      </c>
      <c r="G274" t="s">
        <v>611</v>
      </c>
      <c r="H274" t="s">
        <v>612</v>
      </c>
    </row>
    <row r="275" spans="1:8" x14ac:dyDescent="0.2">
      <c r="A275" t="s">
        <v>1408</v>
      </c>
      <c r="B275" t="s">
        <v>1209</v>
      </c>
      <c r="C275" t="s">
        <v>1428</v>
      </c>
      <c r="D275" t="b">
        <v>1</v>
      </c>
      <c r="E275" t="s">
        <v>725</v>
      </c>
      <c r="F275" t="s">
        <v>747</v>
      </c>
      <c r="G275" t="s">
        <v>611</v>
      </c>
      <c r="H275" t="s">
        <v>612</v>
      </c>
    </row>
    <row r="276" spans="1:8" x14ac:dyDescent="0.2">
      <c r="A276" t="s">
        <v>1409</v>
      </c>
      <c r="B276" t="s">
        <v>1210</v>
      </c>
      <c r="C276" t="s">
        <v>1428</v>
      </c>
      <c r="D276" t="b">
        <v>1</v>
      </c>
      <c r="E276" t="s">
        <v>725</v>
      </c>
      <c r="F276" t="s">
        <v>747</v>
      </c>
      <c r="G276" t="s">
        <v>611</v>
      </c>
      <c r="H276" t="s">
        <v>612</v>
      </c>
    </row>
    <row r="277" spans="1:8" x14ac:dyDescent="0.2">
      <c r="A277" t="s">
        <v>1410</v>
      </c>
      <c r="B277" t="s">
        <v>1211</v>
      </c>
      <c r="C277" t="s">
        <v>1431</v>
      </c>
      <c r="D277" t="b">
        <v>1</v>
      </c>
      <c r="E277" t="s">
        <v>725</v>
      </c>
      <c r="F277" t="s">
        <v>747</v>
      </c>
      <c r="G277" t="s">
        <v>611</v>
      </c>
      <c r="H277" t="s">
        <v>612</v>
      </c>
    </row>
    <row r="278" spans="1:8" x14ac:dyDescent="0.2">
      <c r="A278" t="s">
        <v>1411</v>
      </c>
      <c r="B278" t="s">
        <v>1212</v>
      </c>
      <c r="C278" t="s">
        <v>1431</v>
      </c>
      <c r="D278" t="b">
        <v>1</v>
      </c>
      <c r="E278" t="s">
        <v>725</v>
      </c>
      <c r="F278" t="s">
        <v>747</v>
      </c>
      <c r="G278" t="s">
        <v>611</v>
      </c>
      <c r="H278" t="s">
        <v>612</v>
      </c>
    </row>
    <row r="279" spans="1:8" x14ac:dyDescent="0.2">
      <c r="A279" t="s">
        <v>1412</v>
      </c>
      <c r="B279" t="s">
        <v>1213</v>
      </c>
      <c r="C279" t="s">
        <v>1433</v>
      </c>
      <c r="D279" t="b">
        <v>1</v>
      </c>
      <c r="E279" t="s">
        <v>725</v>
      </c>
      <c r="F279" s="111" t="s">
        <v>726</v>
      </c>
      <c r="G279" s="111" t="s">
        <v>760</v>
      </c>
      <c r="H279" t="s">
        <v>612</v>
      </c>
    </row>
    <row r="280" spans="1:8" x14ac:dyDescent="0.2">
      <c r="A280" t="s">
        <v>1413</v>
      </c>
      <c r="B280" t="s">
        <v>1214</v>
      </c>
      <c r="C280" t="s">
        <v>1413</v>
      </c>
      <c r="D280" t="b">
        <v>1</v>
      </c>
      <c r="E280" t="s">
        <v>725</v>
      </c>
      <c r="F280" t="s">
        <v>747</v>
      </c>
      <c r="G280" t="s">
        <v>611</v>
      </c>
      <c r="H280" t="s">
        <v>612</v>
      </c>
    </row>
    <row r="281" spans="1:8" x14ac:dyDescent="0.2">
      <c r="A281" t="s">
        <v>1414</v>
      </c>
      <c r="B281" t="s">
        <v>1215</v>
      </c>
      <c r="C281" t="s">
        <v>1414</v>
      </c>
      <c r="D281" t="b">
        <v>1</v>
      </c>
      <c r="E281" t="s">
        <v>725</v>
      </c>
      <c r="F281" t="s">
        <v>747</v>
      </c>
      <c r="G281" t="s">
        <v>611</v>
      </c>
      <c r="H281" t="s">
        <v>612</v>
      </c>
    </row>
    <row r="282" spans="1:8" x14ac:dyDescent="0.2">
      <c r="A282" t="s">
        <v>1415</v>
      </c>
      <c r="B282" t="s">
        <v>1216</v>
      </c>
      <c r="C282" t="s">
        <v>1415</v>
      </c>
      <c r="D282" t="b">
        <v>1</v>
      </c>
      <c r="E282" t="s">
        <v>725</v>
      </c>
      <c r="F282" t="s">
        <v>747</v>
      </c>
      <c r="G282" t="s">
        <v>611</v>
      </c>
      <c r="H282" t="s">
        <v>612</v>
      </c>
    </row>
    <row r="283" spans="1:8" x14ac:dyDescent="0.2">
      <c r="A283" t="s">
        <v>1416</v>
      </c>
      <c r="B283" t="s">
        <v>1217</v>
      </c>
      <c r="C283" t="s">
        <v>1416</v>
      </c>
      <c r="D283" t="b">
        <v>1</v>
      </c>
      <c r="E283" t="s">
        <v>725</v>
      </c>
      <c r="F283" t="s">
        <v>747</v>
      </c>
      <c r="G283" t="s">
        <v>611</v>
      </c>
      <c r="H283" t="s">
        <v>612</v>
      </c>
    </row>
    <row r="284" spans="1:8" x14ac:dyDescent="0.2">
      <c r="A284" t="s">
        <v>1417</v>
      </c>
      <c r="B284" t="s">
        <v>1218</v>
      </c>
      <c r="C284" t="s">
        <v>1417</v>
      </c>
      <c r="D284" t="b">
        <v>1</v>
      </c>
      <c r="E284" t="s">
        <v>725</v>
      </c>
      <c r="F284" t="s">
        <v>747</v>
      </c>
      <c r="G284" t="s">
        <v>611</v>
      </c>
      <c r="H284" t="s">
        <v>612</v>
      </c>
    </row>
    <row r="285" spans="1:8" x14ac:dyDescent="0.2">
      <c r="A285" t="s">
        <v>1418</v>
      </c>
      <c r="B285" t="s">
        <v>1219</v>
      </c>
      <c r="C285" t="s">
        <v>1418</v>
      </c>
      <c r="D285" t="b">
        <v>1</v>
      </c>
      <c r="E285" t="s">
        <v>725</v>
      </c>
      <c r="F285" t="s">
        <v>747</v>
      </c>
      <c r="G285" t="s">
        <v>611</v>
      </c>
      <c r="H285" t="s">
        <v>612</v>
      </c>
    </row>
    <row r="286" spans="1:8" x14ac:dyDescent="0.2">
      <c r="A286" t="s">
        <v>1419</v>
      </c>
      <c r="B286" t="s">
        <v>1220</v>
      </c>
      <c r="C286" t="s">
        <v>1419</v>
      </c>
      <c r="D286" t="b">
        <v>1</v>
      </c>
      <c r="E286" t="s">
        <v>725</v>
      </c>
      <c r="F286" t="s">
        <v>747</v>
      </c>
      <c r="G286" t="s">
        <v>611</v>
      </c>
      <c r="H286" t="s">
        <v>612</v>
      </c>
    </row>
    <row r="287" spans="1:8" x14ac:dyDescent="0.2">
      <c r="A287" t="s">
        <v>1420</v>
      </c>
      <c r="B287" t="s">
        <v>1221</v>
      </c>
      <c r="C287" t="s">
        <v>1420</v>
      </c>
      <c r="D287" t="b">
        <v>1</v>
      </c>
      <c r="E287" t="s">
        <v>725</v>
      </c>
      <c r="F287" t="s">
        <v>747</v>
      </c>
      <c r="G287" t="s">
        <v>611</v>
      </c>
      <c r="H287" t="s">
        <v>612</v>
      </c>
    </row>
    <row r="288" spans="1:8" x14ac:dyDescent="0.2">
      <c r="A288" t="s">
        <v>1421</v>
      </c>
      <c r="B288" t="s">
        <v>1222</v>
      </c>
      <c r="C288" t="s">
        <v>1421</v>
      </c>
      <c r="D288" t="b">
        <v>1</v>
      </c>
      <c r="E288" t="s">
        <v>725</v>
      </c>
      <c r="F288" t="s">
        <v>747</v>
      </c>
      <c r="G288" t="s">
        <v>611</v>
      </c>
      <c r="H288" t="s">
        <v>612</v>
      </c>
    </row>
    <row r="289" spans="1:8" x14ac:dyDescent="0.2">
      <c r="A289" t="s">
        <v>1422</v>
      </c>
      <c r="B289" t="s">
        <v>1223</v>
      </c>
      <c r="C289" t="s">
        <v>1422</v>
      </c>
      <c r="D289" t="b">
        <v>1</v>
      </c>
      <c r="E289" t="s">
        <v>725</v>
      </c>
      <c r="F289" t="s">
        <v>747</v>
      </c>
      <c r="G289" t="s">
        <v>611</v>
      </c>
      <c r="H289" t="s">
        <v>612</v>
      </c>
    </row>
    <row r="290" spans="1:8" x14ac:dyDescent="0.2">
      <c r="A290" t="s">
        <v>1423</v>
      </c>
      <c r="B290" t="s">
        <v>1224</v>
      </c>
      <c r="C290" t="s">
        <v>1423</v>
      </c>
      <c r="D290" t="b">
        <v>1</v>
      </c>
      <c r="E290" t="s">
        <v>725</v>
      </c>
      <c r="F290" t="s">
        <v>747</v>
      </c>
      <c r="G290" t="s">
        <v>611</v>
      </c>
      <c r="H290" t="s">
        <v>612</v>
      </c>
    </row>
    <row r="291" spans="1:8" x14ac:dyDescent="0.2">
      <c r="A291" t="s">
        <v>1424</v>
      </c>
      <c r="B291" t="s">
        <v>1225</v>
      </c>
      <c r="C291" t="s">
        <v>1424</v>
      </c>
      <c r="D291" t="b">
        <v>1</v>
      </c>
      <c r="E291" t="s">
        <v>725</v>
      </c>
      <c r="F291" t="s">
        <v>747</v>
      </c>
      <c r="G291" t="s">
        <v>611</v>
      </c>
      <c r="H291" t="s">
        <v>612</v>
      </c>
    </row>
    <row r="292" spans="1:8" x14ac:dyDescent="0.2">
      <c r="A292" t="s">
        <v>1436</v>
      </c>
      <c r="B292" t="s">
        <v>1438</v>
      </c>
      <c r="C292" t="s">
        <v>1436</v>
      </c>
      <c r="D292" t="b">
        <v>1</v>
      </c>
      <c r="E292" t="s">
        <v>725</v>
      </c>
      <c r="F292" s="111" t="s">
        <v>734</v>
      </c>
      <c r="G292" t="s">
        <v>611</v>
      </c>
      <c r="H292" t="s">
        <v>612</v>
      </c>
    </row>
    <row r="293" spans="1:8" x14ac:dyDescent="0.2">
      <c r="A293" t="s">
        <v>1437</v>
      </c>
      <c r="B293" t="s">
        <v>1439</v>
      </c>
      <c r="C293" t="s">
        <v>1437</v>
      </c>
      <c r="D293" t="b">
        <v>1</v>
      </c>
      <c r="E293" t="s">
        <v>725</v>
      </c>
      <c r="F293" s="111" t="s">
        <v>734</v>
      </c>
      <c r="G293" t="s">
        <v>611</v>
      </c>
      <c r="H293" t="s">
        <v>612</v>
      </c>
    </row>
    <row r="294" spans="1:8" x14ac:dyDescent="0.2">
      <c r="A294" t="s">
        <v>1425</v>
      </c>
      <c r="B294" t="s">
        <v>1226</v>
      </c>
      <c r="C294" t="s">
        <v>1425</v>
      </c>
      <c r="D294" t="b">
        <v>1</v>
      </c>
      <c r="E294" t="s">
        <v>725</v>
      </c>
      <c r="F294" s="111" t="s">
        <v>734</v>
      </c>
      <c r="G294" t="s">
        <v>611</v>
      </c>
      <c r="H294" t="s">
        <v>612</v>
      </c>
    </row>
    <row r="295" spans="1:8" x14ac:dyDescent="0.2">
      <c r="A295" t="s">
        <v>1426</v>
      </c>
      <c r="B295" t="s">
        <v>1227</v>
      </c>
      <c r="C295" t="s">
        <v>1426</v>
      </c>
      <c r="D295" t="b">
        <v>1</v>
      </c>
      <c r="E295" t="s">
        <v>725</v>
      </c>
      <c r="F295" s="111" t="s">
        <v>734</v>
      </c>
      <c r="G295" t="s">
        <v>611</v>
      </c>
      <c r="H295" t="s">
        <v>612</v>
      </c>
    </row>
    <row r="296" spans="1:8" x14ac:dyDescent="0.2">
      <c r="A296" t="s">
        <v>1427</v>
      </c>
      <c r="B296" t="s">
        <v>1228</v>
      </c>
      <c r="C296" t="s">
        <v>1427</v>
      </c>
      <c r="D296" t="b">
        <v>1</v>
      </c>
      <c r="E296" t="s">
        <v>725</v>
      </c>
      <c r="F296" s="111" t="s">
        <v>734</v>
      </c>
      <c r="G296" t="s">
        <v>611</v>
      </c>
      <c r="H296" t="s">
        <v>612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Main</vt:lpstr>
      <vt:lpstr>Data</vt:lpstr>
      <vt:lpstr>Info</vt:lpstr>
      <vt:lpstr>QATrack_Main</vt:lpstr>
      <vt:lpstr>QATrack_Data</vt:lpstr>
      <vt:lpstr>QATrack_Definitions</vt:lpstr>
      <vt:lpstr>QATrack_Data!List_Electrometers</vt:lpstr>
      <vt:lpstr>QATrack_Definitions!List_Electrometers</vt:lpstr>
      <vt:lpstr>List_Electrometers</vt:lpstr>
      <vt:lpstr>QATrack_Data!List_Farmer_Probes</vt:lpstr>
      <vt:lpstr>QATrack_Definitions!List_Farmer_Probes</vt:lpstr>
      <vt:lpstr>List_Farmer_Probes</vt:lpstr>
      <vt:lpstr>QATrack_Data!List_Machine</vt:lpstr>
      <vt:lpstr>QATrack_Definitions!List_Machine</vt:lpstr>
      <vt:lpstr>List_Machine</vt:lpstr>
      <vt:lpstr>QATrack_Data!List_Markus_Probes</vt:lpstr>
      <vt:lpstr>QATrack_Definitions!List_Markus_Probes</vt:lpstr>
      <vt:lpstr>List_Markus_Probes</vt:lpstr>
      <vt:lpstr>QATrack_Data!List_Month</vt:lpstr>
      <vt:lpstr>QATrack_Definitions!List_Month</vt:lpstr>
      <vt:lpstr>List_Month</vt:lpstr>
      <vt:lpstr>QATrack_Data!List_Personnel</vt:lpstr>
      <vt:lpstr>QATrack_Definitions!List_Personnel</vt:lpstr>
      <vt:lpstr>List_Personnel</vt:lpstr>
      <vt:lpstr>QATrack_Data!List_Status1</vt:lpstr>
      <vt:lpstr>QATrack_Definitions!List_Status1</vt:lpstr>
      <vt:lpstr>List_Status1</vt:lpstr>
      <vt:lpstr>QATrack_Data!List_Status2</vt:lpstr>
      <vt:lpstr>QATrack_Definitions!List_Status2</vt:lpstr>
      <vt:lpstr>List_Status2</vt:lpstr>
      <vt:lpstr>QATrack_Data!List_Status3</vt:lpstr>
      <vt:lpstr>QATrack_Definitions!List_Status3</vt:lpstr>
      <vt:lpstr>List_Status3</vt:lpstr>
      <vt:lpstr>QATrack_Data!List_Status4</vt:lpstr>
      <vt:lpstr>QATrack_Definitions!List_Status4</vt:lpstr>
      <vt:lpstr>List_Status4</vt:lpstr>
      <vt:lpstr>QATrack_Data!List_Student</vt:lpstr>
      <vt:lpstr>QATrack_Definitions!List_Student</vt:lpstr>
      <vt:lpstr>List_Student</vt:lpstr>
      <vt:lpstr>QATrack_Data!List_Year</vt:lpstr>
      <vt:lpstr>QATrack_Definitions!List_Year</vt:lpstr>
      <vt:lpstr>List_Year</vt:lpstr>
      <vt:lpstr>Main!Print_Area</vt:lpstr>
      <vt:lpstr>QATrack_Main!Print_Area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Bromma, Kyle [BCCancer]</cp:lastModifiedBy>
  <cp:lastPrinted>2013-03-12T16:30:14Z</cp:lastPrinted>
  <dcterms:created xsi:type="dcterms:W3CDTF">2011-05-04T16:37:19Z</dcterms:created>
  <dcterms:modified xsi:type="dcterms:W3CDTF">2023-08-29T22:50:26Z</dcterms:modified>
</cp:coreProperties>
</file>